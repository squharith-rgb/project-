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etup" sheetId="2" r:id="rId5"/>
    <sheet state="visible" name="Transactions" sheetId="3" r:id="rId6"/>
    <sheet state="visible" name="Savings &amp; Goals" sheetId="4" r:id="rId7"/>
    <sheet state="visible" name="Annual Forecast" sheetId="5" r:id="rId8"/>
    <sheet state="hidden" name="Budget_Jan" sheetId="6" r:id="rId9"/>
    <sheet state="hidden" name="Budget_Feb" sheetId="7" r:id="rId10"/>
    <sheet state="hidden" name="Budget_Mar" sheetId="8" r:id="rId11"/>
    <sheet state="hidden" name="Budget_Apr" sheetId="9" r:id="rId12"/>
    <sheet state="visible" name="Budget_May" sheetId="10" r:id="rId13"/>
    <sheet state="visible" name="Budget_Jun" sheetId="11" r:id="rId14"/>
    <sheet state="visible" name="Budget_Jul" sheetId="12" r:id="rId15"/>
    <sheet state="visible" name="Budget_Aug" sheetId="13" r:id="rId16"/>
    <sheet state="visible" name="Budget_Sep" sheetId="14" r:id="rId17"/>
    <sheet state="visible" name="Budget_Oct" sheetId="15" r:id="rId18"/>
    <sheet state="visible" name="Budget_Nov" sheetId="16" r:id="rId19"/>
    <sheet state="visible" name="Budget_Dec" sheetId="17" r:id="rId20"/>
  </sheets>
  <definedNames>
    <definedName hidden="1" localSheetId="2" name="_xlnm._FilterDatabase">Transactions!$B$1:$G$36</definedName>
  </definedNames>
  <calcPr/>
  <extLst>
    <ext uri="GoogleSheetsCustomDataVersion2">
      <go:sheetsCustomData xmlns:go="http://customooxmlschemas.google.com/" r:id="rId21" roundtripDataChecksum="5NnnPFLmKbjt5Vmf+5JH5+FqNkAZQbxKwC86EOQwBbc="/>
    </ext>
  </extLst>
</workbook>
</file>

<file path=xl/sharedStrings.xml><?xml version="1.0" encoding="utf-8"?>
<sst xmlns="http://schemas.openxmlformats.org/spreadsheetml/2006/main" count="783" uniqueCount="321">
  <si>
    <t>💰  Personal Finance Dashboard — 2026</t>
  </si>
  <si>
    <t>💵 Net Salary</t>
  </si>
  <si>
    <t>🔒 Fixed Costs</t>
  </si>
  <si>
    <t>🎯 Spendable</t>
  </si>
  <si>
    <t>💸 Spent (Month)</t>
  </si>
  <si>
    <t>💰 Remaining</t>
  </si>
  <si>
    <t>🏦 Saved</t>
  </si>
  <si>
    <t xml:space="preserve">  🏦  Emergency Fund Progress</t>
  </si>
  <si>
    <t>Current</t>
  </si>
  <si>
    <t>Target</t>
  </si>
  <si>
    <t>% Complete</t>
  </si>
  <si>
    <t>Months of Runway</t>
  </si>
  <si>
    <t>Status</t>
  </si>
  <si>
    <t xml:space="preserve">  📊  Category Spending vs Budget  —  May 2026  (update formula month as needed)</t>
  </si>
  <si>
    <t>Category</t>
  </si>
  <si>
    <t>Budget
(OMR)</t>
  </si>
  <si>
    <t>Spent
(OMR)</t>
  </si>
  <si>
    <t>Remaining
(OMR)</t>
  </si>
  <si>
    <t>% Used</t>
  </si>
  <si>
    <t>W1 Spent</t>
  </si>
  <si>
    <t>W2 Spent</t>
  </si>
  <si>
    <t>W3 Spent</t>
  </si>
  <si>
    <t>W4 Spent</t>
  </si>
  <si>
    <t>Groceries</t>
  </si>
  <si>
    <t>Dining Out</t>
  </si>
  <si>
    <t>Fuel</t>
  </si>
  <si>
    <t>Coffee</t>
  </si>
  <si>
    <t>Entertainment</t>
  </si>
  <si>
    <t>Personal Care</t>
  </si>
  <si>
    <t>Miscellaneous</t>
  </si>
  <si>
    <t>Subscriptions</t>
  </si>
  <si>
    <t>Savings</t>
  </si>
  <si>
    <t>Other</t>
  </si>
  <si>
    <t>TOTAL</t>
  </si>
  <si>
    <t xml:space="preserve">  📅  Monthly Spending Summary — All 12 Months</t>
  </si>
  <si>
    <t>Month</t>
  </si>
  <si>
    <t>Total Budgeted</t>
  </si>
  <si>
    <t>Total Spent</t>
  </si>
  <si>
    <t>Remaining</t>
  </si>
  <si>
    <t>Top Category</t>
  </si>
  <si>
    <t>Notes</t>
  </si>
  <si>
    <t>January</t>
  </si>
  <si>
    <t>February</t>
  </si>
  <si>
    <t>Jamʿiyya starts</t>
  </si>
  <si>
    <t>March</t>
  </si>
  <si>
    <t>April</t>
  </si>
  <si>
    <t>Last Jamʿiyya month</t>
  </si>
  <si>
    <t>May</t>
  </si>
  <si>
    <t>June</t>
  </si>
  <si>
    <t>July</t>
  </si>
  <si>
    <t>⭐ 1,400 OMR payout!</t>
  </si>
  <si>
    <t>August</t>
  </si>
  <si>
    <t>September</t>
  </si>
  <si>
    <t>October</t>
  </si>
  <si>
    <t>November</t>
  </si>
  <si>
    <t>December</t>
  </si>
  <si>
    <t>Year end review</t>
  </si>
  <si>
    <t xml:space="preserve">  💳  Fixed Monthly Outflows</t>
  </si>
  <si>
    <t xml:space="preserve">  🎯  Savings Goals Snapshot</t>
  </si>
  <si>
    <t>Item</t>
  </si>
  <si>
    <t>Amount (OMR)</t>
  </si>
  <si>
    <t>% of Salary</t>
  </si>
  <si>
    <t>Goal</t>
  </si>
  <si>
    <t>Progress</t>
  </si>
  <si>
    <t>Loan Repayment</t>
  </si>
  <si>
    <t>Deducted from salary</t>
  </si>
  <si>
    <t>Emergency Fund</t>
  </si>
  <si>
    <t>Jamʿiyya</t>
  </si>
  <si>
    <t>Ends Apr 2027 | Payout Jul 2026</t>
  </si>
  <si>
    <t>Jamʿiyya Buffer</t>
  </si>
  <si>
    <t>Phone Installment</t>
  </si>
  <si>
    <t>24 months from Mar 2026</t>
  </si>
  <si>
    <t>General Savings</t>
  </si>
  <si>
    <t>Internet</t>
  </si>
  <si>
    <t>Monthly</t>
  </si>
  <si>
    <t>TOTAL FIXED</t>
  </si>
  <si>
    <t xml:space="preserve">  ⚙️  Profile &amp; Setup</t>
  </si>
  <si>
    <t>Net Monthly Salary (OMR)</t>
  </si>
  <si>
    <t>Irregular / Extra Income (OMR)</t>
  </si>
  <si>
    <t>Salary Pay Date</t>
  </si>
  <si>
    <t>23rd</t>
  </si>
  <si>
    <t>Net after loan deduction</t>
  </si>
  <si>
    <t>── Fixed Outflows ──</t>
  </si>
  <si>
    <t>Jamʿiyya (ends Apr 2027)</t>
  </si>
  <si>
    <t>Total Fixed</t>
  </si>
  <si>
    <t>Savings Goal / month</t>
  </si>
  <si>
    <t>Spendable (after fixed+savings)</t>
  </si>
  <si>
    <t>Current Savings / Emergency Fund</t>
  </si>
  <si>
    <t>Emergency Fund Target (6×fixed)</t>
  </si>
  <si>
    <t xml:space="preserve">  📝  Transaction Log</t>
  </si>
  <si>
    <t>Date</t>
  </si>
  <si>
    <t>Description</t>
  </si>
  <si>
    <t>Merchant / Note</t>
  </si>
  <si>
    <t>Month (auto)</t>
  </si>
  <si>
    <t>Opening balance</t>
  </si>
  <si>
    <t>Starting balance</t>
  </si>
  <si>
    <t>برجيل</t>
  </si>
  <si>
    <t>عشا</t>
  </si>
  <si>
    <t xml:space="preserve">swimming coach </t>
  </si>
  <si>
    <t>acai</t>
  </si>
  <si>
    <t xml:space="preserve">ترتان </t>
  </si>
  <si>
    <t xml:space="preserve">aljabal trip </t>
  </si>
  <si>
    <t>gift asaad</t>
  </si>
  <si>
    <t xml:space="preserve">eid day </t>
  </si>
  <si>
    <t>B+F</t>
  </si>
  <si>
    <t xml:space="preserve">  🎯  Savings &amp; Goals Tracker</t>
  </si>
  <si>
    <t>Target Date</t>
  </si>
  <si>
    <t>Current (OMR)</t>
  </si>
  <si>
    <t>Target (OMR)</t>
  </si>
  <si>
    <t>2026-12-31</t>
  </si>
  <si>
    <t>Jamʿiyya Payout Buffer</t>
  </si>
  <si>
    <t>2026-07-01</t>
  </si>
  <si>
    <t>2027-01-01</t>
  </si>
  <si>
    <t>✈️  Bali Trip</t>
  </si>
  <si>
    <t>2026-09-01</t>
  </si>
  <si>
    <t xml:space="preserve">  📅  Monthly Savings Log</t>
  </si>
  <si>
    <t>Amount Saved (OMR)</t>
  </si>
  <si>
    <t>Running Total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</si>
  <si>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</si>
  <si>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</si>
  <si>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</si>
  <si>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</si>
  <si>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</si>
  <si>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</si>
  <si>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</si>
  <si>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</si>
  <si>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</si>
  <si>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</si>
  <si>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</si>
  <si>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</si>
  <si>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 xml:space="preserve">  🌴  Bali Trip Planner — September 2026</t>
  </si>
  <si>
    <t>Expense Item</t>
  </si>
  <si>
    <t>Estimated
(OMR)</t>
  </si>
  <si>
    <t>Actual
(OMR)</t>
  </si>
  <si>
    <t>Difference</t>
  </si>
  <si>
    <t>✈️  Flights (Return)</t>
  </si>
  <si>
    <t>Muscat ↔ Bali — check Oman Air / AirAsia</t>
  </si>
  <si>
    <t>🏨  Accommodation (7 nights)</t>
  </si>
  <si>
    <t>~28 OMR/night — mid-range villa</t>
  </si>
  <si>
    <t>🍜  Food &amp; Dining</t>
  </si>
  <si>
    <t>~17 OMR/day — mix local &amp; restaurants</t>
  </si>
  <si>
    <t>🛵  Transport (scooter/taxi)</t>
  </si>
  <si>
    <t>Scooter rental + grab taxi</t>
  </si>
  <si>
    <t>🏄  Activities &amp; Tours</t>
  </si>
  <si>
    <t>Surfing, temples, rice terraces</t>
  </si>
  <si>
    <t>🛍️  Shopping &amp; Souvenirs</t>
  </si>
  <si>
    <t>Clothing, gifts, crafts</t>
  </si>
  <si>
    <t>🔒  Travel Insurance</t>
  </si>
  <si>
    <t>Highly recommended</t>
  </si>
  <si>
    <t>💊  Misc / Emergency buffer</t>
  </si>
  <si>
    <t>Pharmacy, sim card, tips</t>
  </si>
  <si>
    <t xml:space="preserve">  💰  Bali Savings Plan — How to reach 900 OMR by September</t>
  </si>
  <si>
    <t>Source</t>
  </si>
  <si>
    <t>Amount
(OMR)</t>
  </si>
  <si>
    <t>When</t>
  </si>
  <si>
    <t>Running
Total</t>
  </si>
  <si>
    <t>Current savings</t>
  </si>
  <si>
    <t>Now</t>
  </si>
  <si>
    <t>Starting point</t>
  </si>
  <si>
    <t>Jun 2026 — monthly saving</t>
  </si>
  <si>
    <t>23 Jun</t>
  </si>
  <si>
    <t>Regular 100 OMR/month goal</t>
  </si>
  <si>
    <t>Jul 2026 — monthly saving</t>
  </si>
  <si>
    <t>23 Jul</t>
  </si>
  <si>
    <t>Jul 2026 — Jamʿiyya payout</t>
  </si>
  <si>
    <t>Jul 2026</t>
  </si>
  <si>
    <t>1,400 OMR in — allocate 900 to Bali fund</t>
  </si>
  <si>
    <t>Aug 2026 — monthly saving</t>
  </si>
  <si>
    <t>23 Aug</t>
  </si>
  <si>
    <t>🌴  Bali Budget</t>
  </si>
  <si>
    <t>900 OMR</t>
  </si>
  <si>
    <t>✅  Funded by July payout alone</t>
  </si>
  <si>
    <t>Yes</t>
  </si>
  <si>
    <t>🏦  Left for Emergency Fund</t>
  </si>
  <si>
    <t>500 OMR</t>
  </si>
  <si>
    <t>📅  Trip month</t>
  </si>
  <si>
    <t>Sep 2026</t>
  </si>
  <si>
    <t xml:space="preserve">  📈  Annual Forecast 2026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</si>
  <si>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</si>
  <si>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</si>
  <si>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</si>
  <si>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</si>
  <si>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</si>
  <si>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</si>
  <si>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</si>
  <si>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</si>
  <si>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</si>
  <si>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</si>
  <si>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</si>
  <si>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Net Income</t>
  </si>
  <si>
    <t>Phone</t>
  </si>
  <si>
    <t>Spendable</t>
  </si>
  <si>
    <t>Savings Goal</t>
  </si>
  <si>
    <t>⭐  July 2026: Jamʿiyya payout of 1,400 OMR — allocated to Emergency Fund by default</t>
  </si>
  <si>
    <t xml:space="preserve">  📊  Monthly Budget Summary (Budgeted vs Spent)</t>
  </si>
  <si>
    <t>💰  Weekly Spending Tracker — January 2026</t>
  </si>
  <si>
    <t>Net Salary</t>
  </si>
  <si>
    <t>Fixed Outflows</t>
  </si>
  <si>
    <t>Monthly
Budget</t>
  </si>
  <si>
    <t>Week 1
Jan 1–Jan 7</t>
  </si>
  <si>
    <t>Week 2
Jan 8–Jan 15</t>
  </si>
  <si>
    <t>Week 3
Jan 16–Jan 22</t>
  </si>
  <si>
    <t>Week 4
Jan 23–Jan 31</t>
  </si>
  <si>
    <t>Total
Spent</t>
  </si>
  <si>
    <t xml:space="preserve">  📅  Weekly Totals Summary</t>
  </si>
  <si>
    <t>Week</t>
  </si>
  <si>
    <t>Date Range</t>
  </si>
  <si>
    <t>Weekly Budget</t>
  </si>
  <si>
    <t>Over / Under</t>
  </si>
  <si>
    <t>Week 1</t>
  </si>
  <si>
    <t>Jan 1 – Jan 7</t>
  </si>
  <si>
    <t>Week 2</t>
  </si>
  <si>
    <t>Jan 8 – Jan 15</t>
  </si>
  <si>
    <t>Week 3</t>
  </si>
  <si>
    <t>Jan 16 – Jan 22</t>
  </si>
  <si>
    <t>Week 4</t>
  </si>
  <si>
    <t>Jan 23 – Jan 31</t>
  </si>
  <si>
    <t>💰  Weekly Spending Tracker — February 2026</t>
  </si>
  <si>
    <t>Week 1
Feb 1–Feb 7</t>
  </si>
  <si>
    <t>Week 2
Feb 8–Feb 15</t>
  </si>
  <si>
    <t>Week 3
Feb 16–Feb 22</t>
  </si>
  <si>
    <t>Week 4
Feb 23–Feb 28</t>
  </si>
  <si>
    <t>Feb 1 – Feb 7</t>
  </si>
  <si>
    <t>Feb 8 – Feb 15</t>
  </si>
  <si>
    <t>Feb 16 – Feb 22</t>
  </si>
  <si>
    <t>Feb 23 – Feb 28</t>
  </si>
  <si>
    <t>💰  Weekly Spending Tracker — March 2026</t>
  </si>
  <si>
    <t>Week 1
Mar 1–Mar 7</t>
  </si>
  <si>
    <t>Week 2
Mar 8–Mar 15</t>
  </si>
  <si>
    <t>Week 3
Mar 16–Mar 22</t>
  </si>
  <si>
    <t>Week 4
Mar 23–Mar 31</t>
  </si>
  <si>
    <t>Mar 1 – Mar 7</t>
  </si>
  <si>
    <t>Mar 8 – Mar 15</t>
  </si>
  <si>
    <t>Mar 16 – Mar 22</t>
  </si>
  <si>
    <t>Mar 23 – Mar 31</t>
  </si>
  <si>
    <t>💰  Weekly Spending Tracker — April 2026</t>
  </si>
  <si>
    <t>Week 1
Apr 1–Apr 7</t>
  </si>
  <si>
    <t>Week 2
Apr 8–Apr 15</t>
  </si>
  <si>
    <t>Week 3
Apr 16–Apr 22</t>
  </si>
  <si>
    <t>Week 4
Apr 23–Apr 30</t>
  </si>
  <si>
    <t>Apr 1 – Apr 7</t>
  </si>
  <si>
    <t>Apr 8 – Apr 15</t>
  </si>
  <si>
    <t>Apr 16 – Apr 22</t>
  </si>
  <si>
    <t>Apr 23 – Apr 30</t>
  </si>
  <si>
    <t>💰  Weekly Spending Tracker — May 2026</t>
  </si>
  <si>
    <t>Week 1
May 1–May 7</t>
  </si>
  <si>
    <t>Week 2
May 8–May 15</t>
  </si>
  <si>
    <t>Week 3
May 16–May 22</t>
  </si>
  <si>
    <t>Week 4
May 23–May 31</t>
  </si>
  <si>
    <t>May 1 – May 7</t>
  </si>
  <si>
    <t>May 8 – May 15</t>
  </si>
  <si>
    <t>May 16 – May 22</t>
  </si>
  <si>
    <t>May 23 – May 31</t>
  </si>
  <si>
    <t>💰  Weekly Spending Tracker — June 2026</t>
  </si>
  <si>
    <t>Week 1
Jun 1–Jun 7</t>
  </si>
  <si>
    <t>Week 2
Jun 8–Jun 15</t>
  </si>
  <si>
    <t>Week 3
Jun 16–Jun 22</t>
  </si>
  <si>
    <t>Week 4
Jun 23–Jun 30</t>
  </si>
  <si>
    <t>notes</t>
  </si>
  <si>
    <t xml:space="preserve">credit status </t>
  </si>
  <si>
    <t>Jun 1 – Jun 7</t>
  </si>
  <si>
    <t xml:space="preserve">its over budget on the first 
week bcs i boght eid gift 
for asaad and i bought the 
chicken for eid whch costs me (68 rial ) </t>
  </si>
  <si>
    <t xml:space="preserve">paid </t>
  </si>
  <si>
    <t>Jun 8 – Jun 15</t>
  </si>
  <si>
    <t>Jun 16 – Jun 22</t>
  </si>
  <si>
    <t>Jun 23 – Jun 30</t>
  </si>
  <si>
    <t>💰  Weekly Spending Tracker — July 2026</t>
  </si>
  <si>
    <t>Week 1
Jul 1–Jul 7</t>
  </si>
  <si>
    <t>Week 2
Jul 8–Jul 15</t>
  </si>
  <si>
    <t>Week 3
Jul 16–Jul 22</t>
  </si>
  <si>
    <t>Week 4
Jul 23–Jul 31</t>
  </si>
  <si>
    <t>Jul 1 – Jul 7</t>
  </si>
  <si>
    <t>Jul 8 – Jul 15</t>
  </si>
  <si>
    <t>Jul 16 – Jul 22</t>
  </si>
  <si>
    <t>Jul 23 – Jul 31</t>
  </si>
  <si>
    <t>⭐  Jamʿiyya payout this month: 1,400 OMR — allocate to Emergency Fund!</t>
  </si>
  <si>
    <t>💰  Weekly Spending Tracker — August 2026</t>
  </si>
  <si>
    <t>Week 1
Aug 1–Aug 7</t>
  </si>
  <si>
    <t>Week 2
Aug 8–Aug 15</t>
  </si>
  <si>
    <t>Week 3
Aug 16–Aug 22</t>
  </si>
  <si>
    <t>Week 4
Aug 23–Aug 31</t>
  </si>
  <si>
    <t>Aug 1 – Aug 7</t>
  </si>
  <si>
    <t>Aug 8 – Aug 15</t>
  </si>
  <si>
    <t>Aug 16 – Aug 22</t>
  </si>
  <si>
    <t>Aug 23 – Aug 31</t>
  </si>
  <si>
    <t>💰  Weekly Spending Tracker — September 2026</t>
  </si>
  <si>
    <t>Week 1
Sep 1–Sep 7</t>
  </si>
  <si>
    <t>Week 2
Sep 8–Sep 15</t>
  </si>
  <si>
    <t>Week 3
Sep 16–Sep 22</t>
  </si>
  <si>
    <t>Week 4
Sep 23–Sep 30</t>
  </si>
  <si>
    <t>Sep 1 – Sep 7</t>
  </si>
  <si>
    <t>Sep 8 – Sep 15</t>
  </si>
  <si>
    <t>Sep 16 – Sep 22</t>
  </si>
  <si>
    <t>Sep 23 – Sep 30</t>
  </si>
  <si>
    <t>💰  Weekly Spending Tracker — October 2026</t>
  </si>
  <si>
    <t>Week 1
Oct 1–Oct 7</t>
  </si>
  <si>
    <t>Week 2
Oct 8–Oct 15</t>
  </si>
  <si>
    <t>Week 3
Oct 16–Oct 22</t>
  </si>
  <si>
    <t>Week 4
Oct 23–Oct 31</t>
  </si>
  <si>
    <t>Oct 1 – Oct 7</t>
  </si>
  <si>
    <t>Oct 8 – Oct 15</t>
  </si>
  <si>
    <t>Oct 16 – Oct 22</t>
  </si>
  <si>
    <t>Oct 23 – Oct 31</t>
  </si>
  <si>
    <t>💰  Weekly Spending Tracker — November 2026</t>
  </si>
  <si>
    <t>Week 1
Nov 1–Nov 7</t>
  </si>
  <si>
    <t>Week 2
Nov 8–Nov 15</t>
  </si>
  <si>
    <t>Week 3
Nov 16–Nov 22</t>
  </si>
  <si>
    <t>Week 4
Nov 23–Nov 30</t>
  </si>
  <si>
    <t>Nov 1 – Nov 7</t>
  </si>
  <si>
    <t>Nov 8 – Nov 15</t>
  </si>
  <si>
    <t>Nov 16 – Nov 22</t>
  </si>
  <si>
    <t>Nov 23 – Nov 30</t>
  </si>
  <si>
    <t>💰  Weekly Spending Tracker — December 2026</t>
  </si>
  <si>
    <t>Week 1
Dec 1–Dec 7</t>
  </si>
  <si>
    <t>Week 2
Dec 8–Dec 15</t>
  </si>
  <si>
    <t>Week 3
Dec 16–Dec 22</t>
  </si>
  <si>
    <t>Week 4
Dec 23–Dec 31</t>
  </si>
  <si>
    <t>Dec 1 – Dec 7</t>
  </si>
  <si>
    <t>Dec 8 – Dec 15</t>
  </si>
  <si>
    <t>Dec 16 – Dec 22</t>
  </si>
  <si>
    <t>Dec 23 – Dec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</si>
</sst>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&quot; OMR&quot;"/>
    <numFmt numFmtId="165" formatCode="0.0%"/>
    <numFmt numFmtId="166" formatCode="0.0\x"/>
    <numFmt numFmtId="167" formatCode="yyyy\-mm\-dd"/>
  </numFmts>
  <fonts count="27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9.0"/>
      <color rgb="FFFFFFFF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b/>
      <sz val="9.0"/>
      <color rgb="FF4A235A"/>
      <name val="Arial"/>
    </font>
    <font>
      <sz val="10.0"/>
      <color rgb="FF000000"/>
      <name val="Arial"/>
    </font>
    <font>
      <sz val="10.0"/>
      <color theme="1"/>
      <name val="Arial"/>
    </font>
    <font>
      <sz val="9.0"/>
      <color rgb="FF595959"/>
      <name val="Arial"/>
    </font>
    <font>
      <i/>
      <sz val="9.0"/>
      <color rgb="FF595959"/>
      <name val="Arial"/>
    </font>
    <font>
      <b/>
      <sz val="10.0"/>
      <color rgb="FF7030A0"/>
      <name val="Arial"/>
    </font>
    <font>
      <i/>
      <sz val="9.0"/>
      <color rgb="FF7030A0"/>
      <name val="Arial"/>
    </font>
    <font>
      <sz val="10.0"/>
      <color rgb="FF0000FF"/>
      <name val="Arial"/>
    </font>
    <font>
      <sz val="11.0"/>
      <color theme="1"/>
      <name val="Calibri"/>
    </font>
    <font>
      <b/>
      <sz val="10.0"/>
      <color rgb="FF2E75B6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0.0"/>
      <color rgb="FF595959"/>
      <name val="Arial"/>
    </font>
    <font>
      <color theme="1"/>
      <name val="Calibri"/>
      <scheme val="minor"/>
    </font>
    <font>
      <b/>
      <sz val="10.0"/>
      <color rgb="FF000000"/>
      <name val="Arial"/>
    </font>
    <font>
      <b/>
      <sz val="10.0"/>
      <color rgb="FF7D4F00"/>
      <name val="Arial"/>
    </font>
    <font>
      <b/>
      <sz val="10.0"/>
      <color rgb="FF0000FF"/>
      <name val="Arial"/>
    </font>
    <font>
      <b/>
      <sz val="10.0"/>
      <color rgb="FF1B5E20"/>
      <name val="Arial"/>
    </font>
    <font>
      <b/>
      <sz val="10.0"/>
      <color rgb="FF4A235A"/>
      <name val="Arial"/>
    </font>
    <font>
      <b/>
      <sz val="10.0"/>
      <color rgb="FF1A237E"/>
      <name val="Arial"/>
    </font>
    <font>
      <b/>
      <sz val="12.0"/>
      <color rgb="FFFFFFFF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  <fill>
      <patternFill patternType="solid">
        <fgColor rgb="FFED7D31"/>
        <bgColor rgb="FFED7D3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D7BDE2"/>
        <bgColor rgb="FFD7BDE2"/>
      </patternFill>
    </fill>
    <fill>
      <patternFill patternType="solid">
        <fgColor rgb="FFEDE7F6"/>
        <bgColor rgb="FFEDE7F6"/>
      </patternFill>
    </fill>
    <fill>
      <patternFill patternType="solid">
        <fgColor rgb="FF2E5D8A"/>
        <bgColor rgb="FF2E5D8A"/>
      </patternFill>
    </fill>
    <fill>
      <patternFill patternType="solid">
        <fgColor rgb="FFEBF3FB"/>
        <bgColor rgb="FFEBF3FB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E8F5E9"/>
        <bgColor rgb="FFE8F5E9"/>
      </patternFill>
    </fill>
    <fill>
      <patternFill patternType="solid">
        <fgColor rgb="FFF3E8FF"/>
        <bgColor rgb="FFF3E8FF"/>
      </patternFill>
    </fill>
    <fill>
      <patternFill patternType="solid">
        <fgColor rgb="FFFADBD8"/>
        <bgColor rgb="FFFADBD8"/>
      </patternFill>
    </fill>
    <fill>
      <patternFill patternType="solid">
        <fgColor rgb="FFFDFEFE"/>
        <bgColor rgb="FFFDFEFE"/>
      </patternFill>
    </fill>
    <fill>
      <patternFill patternType="solid">
        <fgColor rgb="FFF5EEF8"/>
        <bgColor rgb="FFF5EE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FF3CD"/>
        <bgColor rgb="FFFFF3CD"/>
      </patternFill>
    </fill>
    <fill>
      <patternFill patternType="solid">
        <fgColor rgb="FFE65100"/>
        <bgColor rgb="FFE65100"/>
      </patternFill>
    </fill>
    <fill>
      <patternFill patternType="solid">
        <fgColor rgb="FFFFF8E1"/>
        <bgColor rgb="FFFFF8E1"/>
      </patternFill>
    </fill>
    <fill>
      <patternFill patternType="solid">
        <fgColor rgb="FFC8E6C9"/>
        <bgColor rgb="FFC8E6C9"/>
      </patternFill>
    </fill>
    <fill>
      <patternFill patternType="solid">
        <fgColor rgb="FF1F6091"/>
        <bgColor rgb="FF1F6091"/>
      </patternFill>
    </fill>
    <fill>
      <patternFill patternType="solid">
        <fgColor rgb="FF4E7C1F"/>
        <bgColor rgb="FF4E7C1F"/>
      </patternFill>
    </fill>
    <fill>
      <patternFill patternType="solid">
        <fgColor rgb="FFDEEAF1"/>
        <bgColor rgb="FFDEEAF1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4" fillId="7" fontId="3" numFmtId="0" xfId="0" applyAlignment="1" applyBorder="1" applyFill="1" applyFon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4" fillId="4" fontId="4" numFmtId="164" xfId="0" applyAlignment="1" applyBorder="1" applyFont="1" applyNumberFormat="1">
      <alignment horizontal="center" vertical="center"/>
    </xf>
    <xf borderId="4" fillId="5" fontId="4" numFmtId="164" xfId="0" applyAlignment="1" applyBorder="1" applyFont="1" applyNumberFormat="1">
      <alignment horizontal="center" vertical="center"/>
    </xf>
    <xf borderId="4" fillId="6" fontId="4" numFmtId="164" xfId="0" applyAlignment="1" applyBorder="1" applyFont="1" applyNumberFormat="1">
      <alignment horizontal="center" vertical="center"/>
    </xf>
    <xf borderId="4" fillId="7" fontId="4" numFmtId="164" xfId="0" applyAlignment="1" applyBorder="1" applyFont="1" applyNumberFormat="1">
      <alignment horizontal="center" vertical="center"/>
    </xf>
    <xf borderId="4" fillId="8" fontId="4" numFmtId="164" xfId="0" applyAlignment="1" applyBorder="1" applyFont="1" applyNumberFormat="1">
      <alignment horizontal="center" vertical="center"/>
    </xf>
    <xf borderId="1" fillId="8" fontId="5" numFmtId="0" xfId="0" applyAlignment="1" applyBorder="1" applyFont="1">
      <alignment horizontal="left" vertical="center"/>
    </xf>
    <xf borderId="5" fillId="9" fontId="6" numFmtId="0" xfId="0" applyAlignment="1" applyBorder="1" applyFill="1" applyFont="1">
      <alignment horizontal="center" vertical="center"/>
    </xf>
    <xf borderId="5" fillId="10" fontId="7" numFmtId="164" xfId="0" applyAlignment="1" applyBorder="1" applyFill="1" applyFont="1" applyNumberFormat="1">
      <alignment horizontal="center" vertical="center"/>
    </xf>
    <xf borderId="5" fillId="10" fontId="7" numFmtId="165" xfId="0" applyAlignment="1" applyBorder="1" applyFont="1" applyNumberFormat="1">
      <alignment horizontal="center" vertical="center"/>
    </xf>
    <xf borderId="5" fillId="10" fontId="7" numFmtId="166" xfId="0" applyAlignment="1" applyBorder="1" applyFont="1" applyNumberFormat="1">
      <alignment horizontal="center" vertical="center"/>
    </xf>
    <xf borderId="5" fillId="10" fontId="7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6" fillId="2" fontId="3" numFmtId="0" xfId="0" applyAlignment="1" applyBorder="1" applyFont="1">
      <alignment horizontal="center" shrinkToFit="0" vertical="center" wrapText="1"/>
    </xf>
    <xf borderId="6" fillId="11" fontId="3" numFmtId="0" xfId="0" applyAlignment="1" applyBorder="1" applyFill="1" applyFont="1">
      <alignment horizontal="center" shrinkToFit="0" vertical="center" wrapText="1"/>
    </xf>
    <xf borderId="5" fillId="12" fontId="7" numFmtId="0" xfId="0" applyAlignment="1" applyBorder="1" applyFill="1" applyFont="1">
      <alignment horizontal="left" vertical="center"/>
    </xf>
    <xf borderId="5" fillId="12" fontId="8" numFmtId="39" xfId="0" applyAlignment="1" applyBorder="1" applyFont="1" applyNumberFormat="1">
      <alignment horizontal="right" vertical="center"/>
    </xf>
    <xf borderId="5" fillId="12" fontId="8" numFmtId="9" xfId="0" applyAlignment="1" applyBorder="1" applyFont="1" applyNumberFormat="1">
      <alignment horizontal="right" vertical="center"/>
    </xf>
    <xf borderId="5" fillId="12" fontId="8" numFmtId="0" xfId="0" applyAlignment="1" applyBorder="1" applyFont="1">
      <alignment horizontal="center" vertical="center"/>
    </xf>
    <xf borderId="5" fillId="13" fontId="9" numFmtId="39" xfId="0" applyAlignment="1" applyBorder="1" applyFill="1" applyFont="1" applyNumberFormat="1">
      <alignment horizontal="right" vertical="center"/>
    </xf>
    <xf borderId="5" fillId="14" fontId="7" numFmtId="0" xfId="0" applyAlignment="1" applyBorder="1" applyFill="1" applyFont="1">
      <alignment horizontal="left" vertical="center"/>
    </xf>
    <xf borderId="5" fillId="14" fontId="8" numFmtId="39" xfId="0" applyAlignment="1" applyBorder="1" applyFont="1" applyNumberFormat="1">
      <alignment horizontal="right" vertical="center"/>
    </xf>
    <xf borderId="5" fillId="14" fontId="8" numFmtId="9" xfId="0" applyAlignment="1" applyBorder="1" applyFont="1" applyNumberFormat="1">
      <alignment horizontal="right" vertical="center"/>
    </xf>
    <xf borderId="5" fillId="14" fontId="8" numFmtId="0" xfId="0" applyAlignment="1" applyBorder="1" applyFont="1">
      <alignment horizontal="center" vertical="center"/>
    </xf>
    <xf borderId="5" fillId="15" fontId="9" numFmtId="39" xfId="0" applyAlignment="1" applyBorder="1" applyFill="1" applyFont="1" applyNumberFormat="1">
      <alignment horizontal="right" vertical="center"/>
    </xf>
    <xf borderId="6" fillId="2" fontId="5" numFmtId="0" xfId="0" applyAlignment="1" applyBorder="1" applyFont="1">
      <alignment horizontal="left" vertical="center"/>
    </xf>
    <xf borderId="6" fillId="2" fontId="5" numFmtId="39" xfId="0" applyAlignment="1" applyBorder="1" applyFont="1" applyNumberFormat="1">
      <alignment horizontal="right" vertical="center"/>
    </xf>
    <xf borderId="6" fillId="2" fontId="5" numFmtId="9" xfId="0" applyAlignment="1" applyBorder="1" applyFont="1" applyNumberFormat="1">
      <alignment horizontal="right" vertical="center"/>
    </xf>
    <xf borderId="6" fillId="2" fontId="5" numFmtId="0" xfId="0" applyAlignment="1" applyBorder="1" applyFont="1">
      <alignment horizontal="right" vertical="center"/>
    </xf>
    <xf borderId="1" fillId="5" fontId="5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center" shrinkToFit="0" vertical="center" wrapText="1"/>
    </xf>
    <xf borderId="5" fillId="16" fontId="7" numFmtId="0" xfId="0" applyAlignment="1" applyBorder="1" applyFill="1" applyFont="1">
      <alignment horizontal="left" vertical="center"/>
    </xf>
    <xf borderId="5" fillId="16" fontId="8" numFmtId="39" xfId="0" applyAlignment="1" applyBorder="1" applyFont="1" applyNumberFormat="1">
      <alignment horizontal="right" vertical="center"/>
    </xf>
    <xf borderId="5" fillId="16" fontId="8" numFmtId="9" xfId="0" applyAlignment="1" applyBorder="1" applyFont="1" applyNumberFormat="1">
      <alignment horizontal="right" vertical="center"/>
    </xf>
    <xf borderId="5" fillId="16" fontId="8" numFmtId="0" xfId="0" applyAlignment="1" applyBorder="1" applyFont="1">
      <alignment horizontal="center" vertical="center"/>
    </xf>
    <xf borderId="5" fillId="16" fontId="9" numFmtId="0" xfId="0" applyAlignment="1" applyBorder="1" applyFont="1">
      <alignment horizontal="left" vertical="center"/>
    </xf>
    <xf borderId="5" fillId="14" fontId="10" numFmtId="0" xfId="0" applyAlignment="1" applyBorder="1" applyFont="1">
      <alignment horizontal="left" vertical="center"/>
    </xf>
    <xf borderId="5" fillId="14" fontId="9" numFmtId="0" xfId="0" applyAlignment="1" applyBorder="1" applyFont="1">
      <alignment horizontal="left" vertical="center"/>
    </xf>
    <xf borderId="5" fillId="17" fontId="11" numFmtId="0" xfId="0" applyAlignment="1" applyBorder="1" applyFill="1" applyFont="1">
      <alignment horizontal="left" vertical="center"/>
    </xf>
    <xf borderId="5" fillId="17" fontId="8" numFmtId="39" xfId="0" applyAlignment="1" applyBorder="1" applyFont="1" applyNumberFormat="1">
      <alignment horizontal="right" vertical="center"/>
    </xf>
    <xf borderId="5" fillId="17" fontId="8" numFmtId="9" xfId="0" applyAlignment="1" applyBorder="1" applyFont="1" applyNumberFormat="1">
      <alignment horizontal="right" vertical="center"/>
    </xf>
    <xf borderId="5" fillId="17" fontId="8" numFmtId="0" xfId="0" applyAlignment="1" applyBorder="1" applyFont="1">
      <alignment horizontal="center" vertical="center"/>
    </xf>
    <xf borderId="5" fillId="17" fontId="12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6" fillId="4" fontId="3" numFmtId="0" xfId="0" applyAlignment="1" applyBorder="1" applyFont="1">
      <alignment horizontal="center" shrinkToFit="0" vertical="center" wrapText="1"/>
    </xf>
    <xf borderId="6" fillId="8" fontId="3" numFmtId="0" xfId="0" applyAlignment="1" applyBorder="1" applyFont="1">
      <alignment horizontal="center" shrinkToFit="0" vertical="center" wrapText="1"/>
    </xf>
    <xf borderId="5" fillId="18" fontId="7" numFmtId="0" xfId="0" applyAlignment="1" applyBorder="1" applyFill="1" applyFont="1">
      <alignment horizontal="left" vertical="center"/>
    </xf>
    <xf borderId="5" fillId="18" fontId="8" numFmtId="39" xfId="0" applyAlignment="1" applyBorder="1" applyFont="1" applyNumberFormat="1">
      <alignment horizontal="right" vertical="center"/>
    </xf>
    <xf borderId="5" fillId="18" fontId="8" numFmtId="165" xfId="0" applyAlignment="1" applyBorder="1" applyFont="1" applyNumberFormat="1">
      <alignment horizontal="right" vertical="center"/>
    </xf>
    <xf borderId="5" fillId="18" fontId="10" numFmtId="0" xfId="0" applyAlignment="1" applyBorder="1" applyFont="1">
      <alignment horizontal="left" vertical="center"/>
    </xf>
    <xf borderId="5" fillId="10" fontId="7" numFmtId="0" xfId="0" applyAlignment="1" applyBorder="1" applyFont="1">
      <alignment horizontal="left" vertical="center"/>
    </xf>
    <xf borderId="5" fillId="10" fontId="8" numFmtId="39" xfId="0" applyAlignment="1" applyBorder="1" applyFont="1" applyNumberFormat="1">
      <alignment horizontal="right" vertical="center"/>
    </xf>
    <xf borderId="5" fillId="10" fontId="8" numFmtId="165" xfId="0" applyAlignment="1" applyBorder="1" applyFont="1" applyNumberFormat="1">
      <alignment horizontal="right" vertical="center"/>
    </xf>
    <xf borderId="5" fillId="19" fontId="7" numFmtId="0" xfId="0" applyAlignment="1" applyBorder="1" applyFill="1" applyFont="1">
      <alignment horizontal="left" vertical="center"/>
    </xf>
    <xf borderId="5" fillId="19" fontId="8" numFmtId="39" xfId="0" applyAlignment="1" applyBorder="1" applyFont="1" applyNumberFormat="1">
      <alignment horizontal="right" vertical="center"/>
    </xf>
    <xf borderId="5" fillId="19" fontId="8" numFmtId="165" xfId="0" applyAlignment="1" applyBorder="1" applyFont="1" applyNumberFormat="1">
      <alignment horizontal="right" vertical="center"/>
    </xf>
    <xf borderId="5" fillId="19" fontId="10" numFmtId="0" xfId="0" applyAlignment="1" applyBorder="1" applyFont="1">
      <alignment horizontal="left" vertical="center"/>
    </xf>
    <xf borderId="5" fillId="20" fontId="7" numFmtId="0" xfId="0" applyAlignment="1" applyBorder="1" applyFill="1" applyFont="1">
      <alignment horizontal="left" vertical="center"/>
    </xf>
    <xf borderId="5" fillId="20" fontId="8" numFmtId="39" xfId="0" applyAlignment="1" applyBorder="1" applyFont="1" applyNumberFormat="1">
      <alignment horizontal="right" vertical="center"/>
    </xf>
    <xf borderId="5" fillId="20" fontId="8" numFmtId="165" xfId="0" applyAlignment="1" applyBorder="1" applyFont="1" applyNumberFormat="1">
      <alignment horizontal="right" vertical="center"/>
    </xf>
    <xf borderId="6" fillId="4" fontId="5" numFmtId="0" xfId="0" applyAlignment="1" applyBorder="1" applyFont="1">
      <alignment horizontal="left" vertical="center"/>
    </xf>
    <xf borderId="6" fillId="4" fontId="5" numFmtId="39" xfId="0" applyAlignment="1" applyBorder="1" applyFont="1" applyNumberFormat="1">
      <alignment horizontal="right" vertical="center"/>
    </xf>
    <xf borderId="6" fillId="4" fontId="5" numFmtId="165" xfId="0" applyAlignment="1" applyBorder="1" applyFont="1" applyNumberFormat="1">
      <alignment horizontal="right" vertical="center"/>
    </xf>
    <xf borderId="6" fillId="4" fontId="5" numFmtId="0" xfId="0" applyBorder="1" applyFont="1"/>
    <xf borderId="5" fillId="12" fontId="8" numFmtId="0" xfId="0" applyAlignment="1" applyBorder="1" applyFont="1">
      <alignment horizontal="left" vertical="center"/>
    </xf>
    <xf borderId="5" fillId="12" fontId="13" numFmtId="39" xfId="0" applyAlignment="1" applyBorder="1" applyFont="1" applyNumberFormat="1">
      <alignment readingOrder="0"/>
    </xf>
    <xf borderId="5" fillId="14" fontId="8" numFmtId="0" xfId="0" applyAlignment="1" applyBorder="1" applyFont="1">
      <alignment horizontal="left" vertical="center"/>
    </xf>
    <xf borderId="5" fillId="14" fontId="13" numFmtId="39" xfId="0" applyBorder="1" applyFont="1" applyNumberFormat="1"/>
    <xf borderId="5" fillId="12" fontId="13" numFmtId="0" xfId="0" applyBorder="1" applyFont="1"/>
    <xf borderId="5" fillId="14" fontId="7" numFmtId="39" xfId="0" applyAlignment="1" applyBorder="1" applyFont="1" applyNumberFormat="1">
      <alignment horizontal="right" vertical="center"/>
    </xf>
    <xf borderId="5" fillId="0" fontId="14" numFmtId="0" xfId="0" applyBorder="1" applyFont="1"/>
    <xf borderId="5" fillId="0" fontId="15" numFmtId="0" xfId="0" applyBorder="1" applyFont="1"/>
    <xf borderId="5" fillId="12" fontId="13" numFmtId="39" xfId="0" applyBorder="1" applyFont="1" applyNumberFormat="1"/>
    <xf borderId="5" fillId="14" fontId="16" numFmtId="0" xfId="0" applyAlignment="1" applyBorder="1" applyFont="1">
      <alignment horizontal="left" vertical="center"/>
    </xf>
    <xf borderId="5" fillId="14" fontId="13" numFmtId="39" xfId="0" applyAlignment="1" applyBorder="1" applyFont="1" applyNumberFormat="1">
      <alignment readingOrder="0"/>
    </xf>
    <xf borderId="5" fillId="12" fontId="16" numFmtId="0" xfId="0" applyAlignment="1" applyBorder="1" applyFont="1">
      <alignment horizontal="left" vertical="center"/>
    </xf>
    <xf borderId="5" fillId="12" fontId="7" numFmtId="39" xfId="0" applyAlignment="1" applyBorder="1" applyFont="1" applyNumberFormat="1">
      <alignment horizontal="right" vertical="center"/>
    </xf>
    <xf borderId="7" fillId="3" fontId="5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2" fontId="17" numFmtId="0" xfId="0" applyAlignment="1" applyBorder="1" applyFont="1">
      <alignment horizontal="center" shrinkToFit="0" vertical="center" wrapText="1"/>
    </xf>
    <xf borderId="11" fillId="2" fontId="17" numFmtId="0" xfId="0" applyAlignment="1" applyBorder="1" applyFont="1">
      <alignment horizontal="left" shrinkToFit="0" vertical="center" wrapText="1"/>
    </xf>
    <xf borderId="12" fillId="2" fontId="17" numFmtId="0" xfId="0" applyAlignment="1" applyBorder="1" applyFont="1">
      <alignment horizontal="center" shrinkToFit="0" vertical="center" wrapText="1"/>
    </xf>
    <xf borderId="5" fillId="2" fontId="17" numFmtId="0" xfId="0" applyAlignment="1" applyBorder="1" applyFont="1">
      <alignment horizontal="center" shrinkToFit="0" vertical="center" wrapText="1"/>
    </xf>
    <xf borderId="7" fillId="21" fontId="8" numFmtId="167" xfId="0" applyAlignment="1" applyBorder="1" applyFill="1" applyFont="1" applyNumberFormat="1">
      <alignment horizontal="right" vertical="center"/>
    </xf>
    <xf borderId="7" fillId="22" fontId="8" numFmtId="0" xfId="0" applyAlignment="1" applyBorder="1" applyFill="1" applyFont="1">
      <alignment horizontal="left" vertical="center"/>
    </xf>
    <xf borderId="13" fillId="23" fontId="8" numFmtId="39" xfId="0" applyAlignment="1" applyBorder="1" applyFill="1" applyFont="1" applyNumberFormat="1">
      <alignment horizontal="right" vertical="center"/>
    </xf>
    <xf borderId="14" fillId="12" fontId="8" numFmtId="0" xfId="0" applyAlignment="1" applyBorder="1" applyFont="1">
      <alignment horizontal="left" vertical="center"/>
    </xf>
    <xf borderId="15" fillId="21" fontId="8" numFmtId="0" xfId="0" applyAlignment="1" applyBorder="1" applyFont="1">
      <alignment horizontal="left" vertical="center"/>
    </xf>
    <xf borderId="15" fillId="12" fontId="18" numFmtId="0" xfId="0" applyAlignment="1" applyBorder="1" applyFont="1">
      <alignment horizontal="left"/>
    </xf>
    <xf borderId="7" fillId="21" fontId="8" numFmtId="167" xfId="0" applyAlignment="1" applyBorder="1" applyFont="1" applyNumberFormat="1">
      <alignment horizontal="right" readingOrder="0" vertical="center"/>
    </xf>
    <xf borderId="7" fillId="22" fontId="19" numFmtId="0" xfId="0" applyAlignment="1" applyBorder="1" applyFont="1">
      <alignment horizontal="left" readingOrder="0"/>
    </xf>
    <xf borderId="8" fillId="23" fontId="14" numFmtId="4" xfId="0" applyAlignment="1" applyBorder="1" applyFont="1" applyNumberFormat="1">
      <alignment readingOrder="0"/>
    </xf>
    <xf borderId="8" fillId="0" fontId="19" numFmtId="0" xfId="0" applyAlignment="1" applyBorder="1" applyFont="1">
      <alignment readingOrder="0"/>
    </xf>
    <xf borderId="16" fillId="21" fontId="8" numFmtId="0" xfId="0" applyAlignment="1" applyBorder="1" applyFont="1">
      <alignment horizontal="left" vertical="center"/>
    </xf>
    <xf borderId="16" fillId="12" fontId="18" numFmtId="0" xfId="0" applyAlignment="1" applyBorder="1" applyFont="1">
      <alignment horizontal="left"/>
    </xf>
    <xf borderId="7" fillId="22" fontId="19" numFmtId="0" xfId="0" applyAlignment="1" applyBorder="1" applyFont="1">
      <alignment horizontal="left"/>
    </xf>
    <xf borderId="8" fillId="23" fontId="19" numFmtId="0" xfId="0" applyAlignment="1" applyBorder="1" applyFont="1">
      <alignment readingOrder="0"/>
    </xf>
    <xf borderId="7" fillId="22" fontId="19" numFmtId="0" xfId="0" applyAlignment="1" applyBorder="1" applyFont="1">
      <alignment horizontal="left" readingOrder="0"/>
    </xf>
    <xf borderId="8" fillId="23" fontId="19" numFmtId="0" xfId="0" applyBorder="1" applyFont="1"/>
    <xf borderId="8" fillId="0" fontId="19" numFmtId="0" xfId="0" applyBorder="1" applyFont="1"/>
    <xf borderId="8" fillId="21" fontId="19" numFmtId="0" xfId="0" applyBorder="1" applyFont="1"/>
    <xf borderId="7" fillId="21" fontId="19" numFmtId="0" xfId="0" applyBorder="1" applyFont="1"/>
    <xf borderId="17" fillId="23" fontId="19" numFmtId="0" xfId="0" applyBorder="1" applyFont="1"/>
    <xf borderId="17" fillId="0" fontId="19" numFmtId="0" xfId="0" applyBorder="1" applyFont="1"/>
    <xf borderId="17" fillId="21" fontId="19" numFmtId="0" xfId="0" applyBorder="1" applyFont="1"/>
    <xf borderId="5" fillId="12" fontId="20" numFmtId="0" xfId="0" applyAlignment="1" applyBorder="1" applyFont="1">
      <alignment horizontal="left" vertical="center"/>
    </xf>
    <xf borderId="5" fillId="12" fontId="13" numFmtId="39" xfId="0" applyAlignment="1" applyBorder="1" applyFont="1" applyNumberFormat="1">
      <alignment horizontal="right"/>
    </xf>
    <xf borderId="5" fillId="12" fontId="8" numFmtId="165" xfId="0" applyAlignment="1" applyBorder="1" applyFont="1" applyNumberFormat="1">
      <alignment horizontal="right"/>
    </xf>
    <xf borderId="5" fillId="12" fontId="8" numFmtId="0" xfId="0" applyAlignment="1" applyBorder="1" applyFont="1">
      <alignment horizontal="center"/>
    </xf>
    <xf borderId="5" fillId="14" fontId="20" numFmtId="0" xfId="0" applyAlignment="1" applyBorder="1" applyFont="1">
      <alignment horizontal="left" vertical="center"/>
    </xf>
    <xf borderId="5" fillId="14" fontId="13" numFmtId="39" xfId="0" applyAlignment="1" applyBorder="1" applyFont="1" applyNumberFormat="1">
      <alignment horizontal="right"/>
    </xf>
    <xf borderId="5" fillId="14" fontId="8" numFmtId="165" xfId="0" applyAlignment="1" applyBorder="1" applyFont="1" applyNumberFormat="1">
      <alignment horizontal="right"/>
    </xf>
    <xf borderId="5" fillId="14" fontId="8" numFmtId="0" xfId="0" applyAlignment="1" applyBorder="1" applyFont="1">
      <alignment horizontal="center"/>
    </xf>
    <xf borderId="5" fillId="24" fontId="21" numFmtId="0" xfId="0" applyAlignment="1" applyBorder="1" applyFill="1" applyFont="1">
      <alignment horizontal="left" vertical="center"/>
    </xf>
    <xf borderId="5" fillId="24" fontId="18" numFmtId="0" xfId="0" applyAlignment="1" applyBorder="1" applyFont="1">
      <alignment horizontal="left" vertical="center"/>
    </xf>
    <xf borderId="5" fillId="24" fontId="13" numFmtId="39" xfId="0" applyAlignment="1" applyBorder="1" applyFont="1" applyNumberFormat="1">
      <alignment horizontal="right" vertical="center"/>
    </xf>
    <xf borderId="5" fillId="24" fontId="8" numFmtId="165" xfId="0" applyAlignment="1" applyBorder="1" applyFont="1" applyNumberFormat="1">
      <alignment horizontal="right" vertical="center"/>
    </xf>
    <xf borderId="5" fillId="24" fontId="8" numFmtId="0" xfId="0" applyAlignment="1" applyBorder="1" applyFont="1">
      <alignment horizontal="center" vertical="center"/>
    </xf>
    <xf borderId="0" fillId="0" fontId="14" numFmtId="0" xfId="0" applyFont="1"/>
    <xf borderId="18" fillId="7" fontId="5" numFmtId="0" xfId="0" applyAlignment="1" applyBorder="1" applyFont="1">
      <alignment horizontal="left" vertical="center"/>
    </xf>
    <xf borderId="5" fillId="7" fontId="17" numFmtId="0" xfId="0" applyAlignment="1" applyBorder="1" applyFont="1">
      <alignment horizontal="center" shrinkToFit="0" vertical="center" wrapText="1"/>
    </xf>
    <xf borderId="1" fillId="25" fontId="17" numFmtId="0" xfId="0" applyAlignment="1" applyBorder="1" applyFill="1" applyFont="1">
      <alignment horizontal="left" vertical="center"/>
    </xf>
    <xf borderId="6" fillId="25" fontId="3" numFmtId="0" xfId="0" applyAlignment="1" applyBorder="1" applyFont="1">
      <alignment horizontal="center" shrinkToFit="0" vertical="center" wrapText="1"/>
    </xf>
    <xf borderId="5" fillId="26" fontId="7" numFmtId="0" xfId="0" applyAlignment="1" applyBorder="1" applyFill="1" applyFont="1">
      <alignment horizontal="left" vertical="center"/>
    </xf>
    <xf borderId="5" fillId="26" fontId="13" numFmtId="39" xfId="0" applyAlignment="1" applyBorder="1" applyFont="1" applyNumberFormat="1">
      <alignment horizontal="right" vertical="center"/>
    </xf>
    <xf borderId="5" fillId="26" fontId="13" numFmtId="39" xfId="0" applyAlignment="1" applyBorder="1" applyFont="1" applyNumberFormat="1">
      <alignment horizontal="right" readingOrder="0" vertical="center"/>
    </xf>
    <xf borderId="5" fillId="26" fontId="8" numFmtId="39" xfId="0" applyAlignment="1" applyBorder="1" applyFont="1" applyNumberFormat="1">
      <alignment horizontal="right" vertical="center"/>
    </xf>
    <xf borderId="5" fillId="26" fontId="8" numFmtId="0" xfId="0" applyAlignment="1" applyBorder="1" applyFont="1">
      <alignment horizontal="center" vertical="center"/>
    </xf>
    <xf borderId="5" fillId="26" fontId="10" numFmtId="0" xfId="0" applyAlignment="1" applyBorder="1" applyFont="1">
      <alignment horizontal="left" vertical="center"/>
    </xf>
    <xf borderId="5" fillId="14" fontId="13" numFmtId="39" xfId="0" applyAlignment="1" applyBorder="1" applyFont="1" applyNumberFormat="1">
      <alignment horizontal="right" vertical="center"/>
    </xf>
    <xf borderId="5" fillId="14" fontId="13" numFmtId="39" xfId="0" applyAlignment="1" applyBorder="1" applyFont="1" applyNumberFormat="1">
      <alignment horizontal="right" readingOrder="0" vertical="center"/>
    </xf>
    <xf borderId="6" fillId="25" fontId="5" numFmtId="0" xfId="0" applyAlignment="1" applyBorder="1" applyFont="1">
      <alignment horizontal="left" vertical="center"/>
    </xf>
    <xf borderId="6" fillId="25" fontId="5" numFmtId="39" xfId="0" applyAlignment="1" applyBorder="1" applyFont="1" applyNumberFormat="1">
      <alignment horizontal="right" vertical="center"/>
    </xf>
    <xf borderId="6" fillId="25" fontId="5" numFmtId="0" xfId="0" applyAlignment="1" applyBorder="1" applyFont="1">
      <alignment horizontal="right" vertical="center"/>
    </xf>
    <xf borderId="6" fillId="3" fontId="3" numFmtId="0" xfId="0" applyAlignment="1" applyBorder="1" applyFont="1">
      <alignment horizontal="center" shrinkToFit="0" vertical="center" wrapText="1"/>
    </xf>
    <xf borderId="5" fillId="12" fontId="13" numFmtId="39" xfId="0" applyAlignment="1" applyBorder="1" applyFont="1" applyNumberFormat="1">
      <alignment horizontal="right" vertical="center"/>
    </xf>
    <xf borderId="5" fillId="12" fontId="16" numFmtId="39" xfId="0" applyAlignment="1" applyBorder="1" applyFont="1" applyNumberFormat="1">
      <alignment horizontal="right" vertical="center"/>
    </xf>
    <xf borderId="5" fillId="12" fontId="10" numFmtId="0" xfId="0" applyAlignment="1" applyBorder="1" applyFont="1">
      <alignment horizontal="left" vertical="center"/>
    </xf>
    <xf borderId="5" fillId="14" fontId="16" numFmtId="39" xfId="0" applyAlignment="1" applyBorder="1" applyFont="1" applyNumberFormat="1">
      <alignment horizontal="right" vertical="center"/>
    </xf>
    <xf borderId="5" fillId="24" fontId="22" numFmtId="39" xfId="0" applyAlignment="1" applyBorder="1" applyFont="1" applyNumberFormat="1">
      <alignment horizontal="right" vertical="center"/>
    </xf>
    <xf borderId="5" fillId="24" fontId="16" numFmtId="39" xfId="0" applyAlignment="1" applyBorder="1" applyFont="1" applyNumberFormat="1">
      <alignment horizontal="right" vertical="center"/>
    </xf>
    <xf borderId="5" fillId="24" fontId="10" numFmtId="0" xfId="0" applyAlignment="1" applyBorder="1" applyFont="1">
      <alignment horizontal="left" vertical="center"/>
    </xf>
    <xf borderId="5" fillId="24" fontId="21" numFmtId="0" xfId="0" applyAlignment="1" applyBorder="1" applyFont="1">
      <alignment horizontal="center" vertical="center"/>
    </xf>
    <xf borderId="5" fillId="24" fontId="14" numFmtId="0" xfId="0" applyBorder="1" applyFont="1"/>
    <xf borderId="5" fillId="27" fontId="23" numFmtId="0" xfId="0" applyAlignment="1" applyBorder="1" applyFill="1" applyFont="1">
      <alignment horizontal="left" vertical="center"/>
    </xf>
    <xf borderId="5" fillId="27" fontId="23" numFmtId="0" xfId="0" applyAlignment="1" applyBorder="1" applyFont="1">
      <alignment horizontal="center" vertical="center"/>
    </xf>
    <xf borderId="5" fillId="27" fontId="14" numFmtId="0" xfId="0" applyBorder="1" applyFont="1"/>
    <xf borderId="5" fillId="10" fontId="24" numFmtId="0" xfId="0" applyAlignment="1" applyBorder="1" applyFont="1">
      <alignment horizontal="left" vertical="center"/>
    </xf>
    <xf borderId="5" fillId="10" fontId="24" numFmtId="0" xfId="0" applyAlignment="1" applyBorder="1" applyFont="1">
      <alignment horizontal="center" vertical="center"/>
    </xf>
    <xf borderId="5" fillId="10" fontId="14" numFmtId="0" xfId="0" applyBorder="1" applyFont="1"/>
    <xf borderId="5" fillId="12" fontId="25" numFmtId="0" xfId="0" applyAlignment="1" applyBorder="1" applyFont="1">
      <alignment horizontal="left" vertical="center"/>
    </xf>
    <xf borderId="5" fillId="12" fontId="25" numFmtId="0" xfId="0" applyAlignment="1" applyBorder="1" applyFont="1">
      <alignment horizontal="center" vertical="center"/>
    </xf>
    <xf borderId="5" fillId="12" fontId="14" numFmtId="0" xfId="0" applyBorder="1" applyFont="1"/>
    <xf borderId="5" fillId="0" fontId="8" numFmtId="0" xfId="0" applyAlignment="1" applyBorder="1" applyFont="1">
      <alignment horizontal="left" vertical="center"/>
    </xf>
    <xf borderId="5" fillId="0" fontId="13" numFmtId="39" xfId="0" applyAlignment="1" applyBorder="1" applyFont="1" applyNumberFormat="1">
      <alignment horizontal="right"/>
    </xf>
    <xf borderId="5" fillId="0" fontId="13" numFmtId="39" xfId="0" applyAlignment="1" applyBorder="1" applyFont="1" applyNumberFormat="1">
      <alignment horizontal="right" readingOrder="0"/>
    </xf>
    <xf borderId="5" fillId="0" fontId="13" numFmtId="39" xfId="0" applyAlignment="1" applyBorder="1" applyFont="1" applyNumberFormat="1">
      <alignment horizontal="right" vertical="center"/>
    </xf>
    <xf borderId="0" fillId="0" fontId="11" numFmtId="0" xfId="0" applyFont="1"/>
    <xf borderId="1" fillId="7" fontId="5" numFmtId="0" xfId="0" applyAlignment="1" applyBorder="1" applyFont="1">
      <alignment horizontal="left" vertical="center"/>
    </xf>
    <xf borderId="5" fillId="7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/>
    </xf>
    <xf borderId="18" fillId="4" fontId="3" numFmtId="0" xfId="0" applyAlignment="1" applyBorder="1" applyFont="1">
      <alignment horizontal="center"/>
    </xf>
    <xf borderId="18" fillId="8" fontId="3" numFmtId="0" xfId="0" applyAlignment="1" applyBorder="1" applyFont="1">
      <alignment horizontal="center"/>
    </xf>
    <xf borderId="18" fillId="7" fontId="3" numFmtId="0" xfId="0" applyAlignment="1" applyBorder="1" applyFont="1">
      <alignment horizontal="center"/>
    </xf>
    <xf borderId="18" fillId="3" fontId="26" numFmtId="164" xfId="0" applyAlignment="1" applyBorder="1" applyFont="1" applyNumberFormat="1">
      <alignment horizontal="center" vertical="center"/>
    </xf>
    <xf borderId="18" fillId="4" fontId="26" numFmtId="164" xfId="0" applyAlignment="1" applyBorder="1" applyFont="1" applyNumberFormat="1">
      <alignment horizontal="center" vertical="center"/>
    </xf>
    <xf borderId="18" fillId="8" fontId="26" numFmtId="164" xfId="0" applyAlignment="1" applyBorder="1" applyFont="1" applyNumberFormat="1">
      <alignment horizontal="center" vertical="center"/>
    </xf>
    <xf borderId="18" fillId="7" fontId="26" numFmtId="164" xfId="0" applyAlignment="1" applyBorder="1" applyFont="1" applyNumberFormat="1">
      <alignment horizontal="center" vertical="center"/>
    </xf>
    <xf borderId="19" fillId="2" fontId="5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19" fillId="28" fontId="3" numFmtId="0" xfId="0" applyAlignment="1" applyBorder="1" applyFill="1" applyFont="1">
      <alignment horizontal="center" shrinkToFit="0" vertical="center" wrapText="1"/>
    </xf>
    <xf borderId="19" fillId="5" fontId="3" numFmtId="0" xfId="0" applyAlignment="1" applyBorder="1" applyFont="1">
      <alignment horizontal="center" shrinkToFit="0" vertical="center" wrapText="1"/>
    </xf>
    <xf borderId="19" fillId="29" fontId="3" numFmtId="0" xfId="0" applyAlignment="1" applyBorder="1" applyFill="1" applyFont="1">
      <alignment horizontal="center" shrinkToFit="0" vertical="center" wrapText="1"/>
    </xf>
    <xf borderId="19" fillId="13" fontId="7" numFmtId="0" xfId="0" applyAlignment="1" applyBorder="1" applyFont="1">
      <alignment horizontal="left" vertical="center"/>
    </xf>
    <xf borderId="19" fillId="13" fontId="13" numFmtId="39" xfId="0" applyAlignment="1" applyBorder="1" applyFont="1" applyNumberFormat="1">
      <alignment horizontal="right" vertical="center"/>
    </xf>
    <xf borderId="19" fillId="30" fontId="7" numFmtId="39" xfId="0" applyAlignment="1" applyBorder="1" applyFill="1" applyFont="1" applyNumberFormat="1">
      <alignment horizontal="right" vertical="center"/>
    </xf>
    <xf borderId="19" fillId="12" fontId="7" numFmtId="39" xfId="0" applyAlignment="1" applyBorder="1" applyFont="1" applyNumberFormat="1">
      <alignment horizontal="right" vertical="center"/>
    </xf>
    <xf borderId="19" fillId="31" fontId="7" numFmtId="39" xfId="0" applyAlignment="1" applyBorder="1" applyFill="1" applyFont="1" applyNumberFormat="1">
      <alignment horizontal="right" vertical="center"/>
    </xf>
    <xf borderId="19" fillId="32" fontId="7" numFmtId="39" xfId="0" applyAlignment="1" applyBorder="1" applyFill="1" applyFont="1" applyNumberFormat="1">
      <alignment horizontal="right" vertical="center"/>
    </xf>
    <xf borderId="19" fillId="13" fontId="7" numFmtId="39" xfId="0" applyAlignment="1" applyBorder="1" applyFont="1" applyNumberFormat="1">
      <alignment horizontal="right" vertical="center"/>
    </xf>
    <xf borderId="19" fillId="13" fontId="8" numFmtId="9" xfId="0" applyAlignment="1" applyBorder="1" applyFont="1" applyNumberFormat="1">
      <alignment horizontal="right" vertical="center"/>
    </xf>
    <xf borderId="19" fillId="13" fontId="8" numFmtId="0" xfId="0" applyAlignment="1" applyBorder="1" applyFont="1">
      <alignment horizontal="center" vertical="center"/>
    </xf>
    <xf borderId="19" fillId="14" fontId="7" numFmtId="0" xfId="0" applyAlignment="1" applyBorder="1" applyFont="1">
      <alignment horizontal="left" vertical="center"/>
    </xf>
    <xf borderId="19" fillId="14" fontId="13" numFmtId="39" xfId="0" applyAlignment="1" applyBorder="1" applyFont="1" applyNumberFormat="1">
      <alignment horizontal="right" vertical="center"/>
    </xf>
    <xf borderId="19" fillId="14" fontId="7" numFmtId="39" xfId="0" applyAlignment="1" applyBorder="1" applyFont="1" applyNumberFormat="1">
      <alignment horizontal="right" vertical="center"/>
    </xf>
    <xf borderId="19" fillId="14" fontId="8" numFmtId="9" xfId="0" applyAlignment="1" applyBorder="1" applyFont="1" applyNumberFormat="1">
      <alignment horizontal="right" vertical="center"/>
    </xf>
    <xf borderId="19" fillId="14" fontId="8" numFmtId="0" xfId="0" applyAlignment="1" applyBorder="1" applyFont="1">
      <alignment horizontal="center" vertical="center"/>
    </xf>
    <xf borderId="19" fillId="2" fontId="5" numFmtId="0" xfId="0" applyAlignment="1" applyBorder="1" applyFont="1">
      <alignment horizontal="left" vertical="center"/>
    </xf>
    <xf borderId="19" fillId="2" fontId="5" numFmtId="39" xfId="0" applyAlignment="1" applyBorder="1" applyFont="1" applyNumberFormat="1">
      <alignment horizontal="right" vertical="center"/>
    </xf>
    <xf borderId="19" fillId="2" fontId="5" numFmtId="9" xfId="0" applyAlignment="1" applyBorder="1" applyFont="1" applyNumberFormat="1">
      <alignment horizontal="right" vertical="center"/>
    </xf>
    <xf borderId="19" fillId="2" fontId="5" numFmtId="0" xfId="0" applyAlignment="1" applyBorder="1" applyFont="1">
      <alignment horizontal="right" vertical="center"/>
    </xf>
    <xf borderId="19" fillId="3" fontId="5" numFmtId="0" xfId="0" applyAlignment="1" applyBorder="1" applyFont="1">
      <alignment horizontal="center" shrinkToFit="0" vertical="center" wrapText="1"/>
    </xf>
    <xf borderId="19" fillId="30" fontId="20" numFmtId="0" xfId="0" applyAlignment="1" applyBorder="1" applyFont="1">
      <alignment horizontal="left" vertical="center"/>
    </xf>
    <xf borderId="19" fillId="30" fontId="7" numFmtId="0" xfId="0" applyAlignment="1" applyBorder="1" applyFont="1">
      <alignment horizontal="left" vertical="center"/>
    </xf>
    <xf borderId="19" fillId="30" fontId="8" numFmtId="0" xfId="0" applyAlignment="1" applyBorder="1" applyFont="1">
      <alignment horizontal="center" vertical="center"/>
    </xf>
    <xf borderId="19" fillId="12" fontId="20" numFmtId="0" xfId="0" applyAlignment="1" applyBorder="1" applyFont="1">
      <alignment horizontal="left" vertical="center"/>
    </xf>
    <xf borderId="19" fillId="12" fontId="7" numFmtId="0" xfId="0" applyAlignment="1" applyBorder="1" applyFont="1">
      <alignment horizontal="left" vertical="center"/>
    </xf>
    <xf borderId="19" fillId="12" fontId="8" numFmtId="0" xfId="0" applyAlignment="1" applyBorder="1" applyFont="1">
      <alignment horizontal="center" vertical="center"/>
    </xf>
    <xf borderId="19" fillId="31" fontId="20" numFmtId="0" xfId="0" applyAlignment="1" applyBorder="1" applyFont="1">
      <alignment horizontal="left" vertical="center"/>
    </xf>
    <xf borderId="19" fillId="31" fontId="7" numFmtId="0" xfId="0" applyAlignment="1" applyBorder="1" applyFont="1">
      <alignment horizontal="left" vertical="center"/>
    </xf>
    <xf borderId="19" fillId="31" fontId="8" numFmtId="0" xfId="0" applyAlignment="1" applyBorder="1" applyFont="1">
      <alignment horizontal="center" vertical="center"/>
    </xf>
    <xf borderId="19" fillId="32" fontId="20" numFmtId="0" xfId="0" applyAlignment="1" applyBorder="1" applyFont="1">
      <alignment horizontal="left" vertical="center"/>
    </xf>
    <xf borderId="19" fillId="32" fontId="7" numFmtId="0" xfId="0" applyAlignment="1" applyBorder="1" applyFont="1">
      <alignment horizontal="left" vertical="center"/>
    </xf>
    <xf borderId="19" fillId="32" fontId="8" numFmtId="0" xfId="0" applyAlignment="1" applyBorder="1" applyFont="1">
      <alignment horizontal="center" vertical="center"/>
    </xf>
    <xf borderId="19" fillId="13" fontId="13" numFmtId="39" xfId="0" applyAlignment="1" applyBorder="1" applyFont="1" applyNumberFormat="1">
      <alignment horizontal="right" readingOrder="0" vertical="center"/>
    </xf>
    <xf borderId="19" fillId="14" fontId="13" numFmtId="39" xfId="0" applyAlignment="1" applyBorder="1" applyFont="1" applyNumberFormat="1">
      <alignment horizontal="right" readingOrder="0" vertical="center"/>
    </xf>
    <xf borderId="19" fillId="30" fontId="7" numFmtId="39" xfId="0" applyAlignment="1" applyBorder="1" applyFont="1" applyNumberFormat="1">
      <alignment horizontal="right" readingOrder="0" vertical="center"/>
    </xf>
    <xf borderId="0" fillId="0" fontId="19" numFmtId="14" xfId="0" applyAlignment="1" applyFont="1" applyNumberFormat="1">
      <alignment readingOrder="0"/>
    </xf>
    <xf borderId="1" fillId="17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.57"/>
    <col customWidth="1" min="2" max="2" width="11.57"/>
    <col customWidth="1" min="3" max="3" width="13.29"/>
    <col customWidth="1" min="4" max="4" width="10.43"/>
    <col customWidth="1" min="5" max="5" width="13.0"/>
    <col customWidth="1" min="6" max="6" width="19.0"/>
    <col customWidth="1" min="7" max="7" width="20.71"/>
    <col customWidth="1" min="8" max="10" width="13.0"/>
    <col customWidth="1" min="11" max="11" width="15.43"/>
    <col customWidth="1" min="12" max="26" width="8.57"/>
  </cols>
  <sheetData>
    <row r="1" ht="37.5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4.5" customHeight="1"/>
    <row r="3" ht="18.0" customHeight="1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</row>
    <row r="4" ht="37.5" customHeight="1">
      <c r="B4" s="10">
        <f>Setup!C2</f>
        <v>883</v>
      </c>
      <c r="C4" s="11">
        <f>Setup!C11</f>
        <v>135.1</v>
      </c>
      <c r="D4" s="12">
        <f>Setup!C14</f>
        <v>467.9</v>
      </c>
      <c r="E4" s="13">
        <f>SUMIF(Transactions!E:E,"&lt;&gt;Savings",Transactions!D:D)</f>
        <v>204.82</v>
      </c>
      <c r="F4" s="14">
        <f>D4-E4</f>
        <v>263.08</v>
      </c>
      <c r="G4" s="15">
        <f>Setup!C16</f>
        <v>200</v>
      </c>
    </row>
    <row r="5" ht="4.5" customHeight="1"/>
    <row r="6" ht="18.0" customHeight="1">
      <c r="B6" s="16" t="s">
        <v>7</v>
      </c>
      <c r="C6" s="2"/>
      <c r="D6" s="2"/>
      <c r="E6" s="2"/>
      <c r="F6" s="2"/>
      <c r="G6" s="2"/>
      <c r="H6" s="2"/>
      <c r="I6" s="2"/>
      <c r="J6" s="3"/>
    </row>
    <row r="7" ht="21.75" customHeight="1">
      <c r="B7" s="17" t="s">
        <v>8</v>
      </c>
      <c r="C7" s="17" t="s">
        <v>9</v>
      </c>
      <c r="D7" s="17" t="s">
        <v>10</v>
      </c>
      <c r="E7" s="17" t="s">
        <v>11</v>
      </c>
      <c r="F7" s="17" t="s">
        <v>12</v>
      </c>
    </row>
    <row r="8" ht="19.5" customHeight="1">
      <c r="B8" s="18">
        <f>Setup!C16</f>
        <v>200</v>
      </c>
      <c r="C8" s="18">
        <f>Setup!C17</f>
        <v>810.6</v>
      </c>
      <c r="D8" s="19">
        <f>IFERROR(Setup!C16/Setup!C17,0)</f>
        <v>0.2467308167</v>
      </c>
      <c r="E8" s="20">
        <f>IFERROR(Setup!C16/Setup!C11,0)</f>
        <v>1.4803849</v>
      </c>
      <c r="F8" s="21" t="str">
        <f>IF(Setup!C16&gt;=Setup!C17,"✅ Fully Funded",IF(Setup!C16/Setup!C17&gt;=0.5,"🔄 Halfway there","🚀 Building up"))</f>
        <v>🚀 Building up</v>
      </c>
    </row>
    <row r="9" ht="4.5" customHeight="1"/>
    <row r="10" ht="19.5" customHeight="1">
      <c r="B10" s="22" t="s">
        <v>13</v>
      </c>
      <c r="C10" s="2"/>
      <c r="D10" s="2"/>
      <c r="E10" s="2"/>
      <c r="F10" s="2"/>
      <c r="G10" s="2"/>
      <c r="H10" s="2"/>
      <c r="I10" s="2"/>
      <c r="J10" s="3"/>
    </row>
    <row r="11" ht="27.75" customHeight="1">
      <c r="B11" s="23" t="s">
        <v>14</v>
      </c>
      <c r="C11" s="23" t="s">
        <v>15</v>
      </c>
      <c r="D11" s="23" t="s">
        <v>16</v>
      </c>
      <c r="E11" s="23" t="s">
        <v>17</v>
      </c>
      <c r="F11" s="23" t="s">
        <v>18</v>
      </c>
      <c r="G11" s="23" t="s">
        <v>12</v>
      </c>
      <c r="H11" s="24" t="s">
        <v>19</v>
      </c>
      <c r="I11" s="24" t="s">
        <v>20</v>
      </c>
      <c r="J11" s="24" t="s">
        <v>21</v>
      </c>
      <c r="K11" s="24" t="s">
        <v>22</v>
      </c>
    </row>
    <row r="12" ht="16.5" customHeight="1">
      <c r="B12" s="25" t="s">
        <v>23</v>
      </c>
      <c r="C12" s="26">
        <f>Budget_May!C7</f>
        <v>50</v>
      </c>
      <c r="D12" s="26">
        <f>Budget_May!H7</f>
        <v>0</v>
      </c>
      <c r="E12" s="26">
        <f t="shared" ref="E12:E21" si="1">C12-D12</f>
        <v>50</v>
      </c>
      <c r="F12" s="27">
        <f t="shared" ref="F12:F22" si="2">IFERROR(D12/C12,0)</f>
        <v>0</v>
      </c>
      <c r="G12" s="28" t="str">
        <f t="shared" ref="G12:G21" si="3">IF(C12=0,"—",IF(D12=0,"Not started",IF(D12&gt;=C12,"❌ Over budget",IF(D12/C12&gt;=0.8,"⚠️ Near limit","✅ On track"))))</f>
        <v>Not started</v>
      </c>
      <c r="H12" s="29">
        <f>Budget_May!D7</f>
        <v>0</v>
      </c>
      <c r="I12" s="29">
        <f>Budget_May!E7</f>
        <v>0</v>
      </c>
      <c r="J12" s="29">
        <f>Budget_May!F7</f>
        <v>0</v>
      </c>
      <c r="K12" s="29">
        <f>Budget_May!G7</f>
        <v>0</v>
      </c>
    </row>
    <row r="13" ht="16.5" customHeight="1">
      <c r="B13" s="30" t="s">
        <v>24</v>
      </c>
      <c r="C13" s="31">
        <f>Budget_May!C8</f>
        <v>100</v>
      </c>
      <c r="D13" s="31">
        <f>Budget_May!H8</f>
        <v>13</v>
      </c>
      <c r="E13" s="31">
        <f t="shared" si="1"/>
        <v>87</v>
      </c>
      <c r="F13" s="32">
        <f t="shared" si="2"/>
        <v>0.13</v>
      </c>
      <c r="G13" s="33" t="str">
        <f t="shared" si="3"/>
        <v>✅ On track</v>
      </c>
      <c r="H13" s="34">
        <f>Budget_May!D8</f>
        <v>0</v>
      </c>
      <c r="I13" s="34">
        <f>Budget_May!E8</f>
        <v>7.7</v>
      </c>
      <c r="J13" s="34">
        <f>Budget_May!F8</f>
        <v>5.3</v>
      </c>
      <c r="K13" s="34">
        <f>Budget_May!G8</f>
        <v>0</v>
      </c>
    </row>
    <row r="14" ht="16.5" customHeight="1">
      <c r="B14" s="25" t="s">
        <v>25</v>
      </c>
      <c r="C14" s="26">
        <f>Budget_May!C9</f>
        <v>75</v>
      </c>
      <c r="D14" s="26">
        <f>Budget_May!H9</f>
        <v>15</v>
      </c>
      <c r="E14" s="26">
        <f t="shared" si="1"/>
        <v>60</v>
      </c>
      <c r="F14" s="27">
        <f t="shared" si="2"/>
        <v>0.2</v>
      </c>
      <c r="G14" s="28" t="str">
        <f t="shared" si="3"/>
        <v>✅ On track</v>
      </c>
      <c r="H14" s="29">
        <f>Budget_May!D9</f>
        <v>0</v>
      </c>
      <c r="I14" s="29">
        <f>Budget_May!E9</f>
        <v>10</v>
      </c>
      <c r="J14" s="29">
        <f>Budget_May!F9</f>
        <v>5</v>
      </c>
      <c r="K14" s="29">
        <f>Budget_May!G9</f>
        <v>0</v>
      </c>
    </row>
    <row r="15" ht="16.5" customHeight="1">
      <c r="B15" s="30" t="s">
        <v>26</v>
      </c>
      <c r="C15" s="31">
        <f>Budget_May!C10</f>
        <v>50</v>
      </c>
      <c r="D15" s="31">
        <f>Budget_May!H10</f>
        <v>5.8</v>
      </c>
      <c r="E15" s="31">
        <f t="shared" si="1"/>
        <v>44.2</v>
      </c>
      <c r="F15" s="32">
        <f t="shared" si="2"/>
        <v>0.116</v>
      </c>
      <c r="G15" s="33" t="str">
        <f t="shared" si="3"/>
        <v>✅ On track</v>
      </c>
      <c r="H15" s="34">
        <f>Budget_May!D10</f>
        <v>0</v>
      </c>
      <c r="I15" s="34">
        <f>Budget_May!E10</f>
        <v>4.2</v>
      </c>
      <c r="J15" s="34">
        <f>Budget_May!F10</f>
        <v>1.6</v>
      </c>
      <c r="K15" s="34">
        <f>Budget_May!G10</f>
        <v>0</v>
      </c>
    </row>
    <row r="16" ht="16.5" customHeight="1">
      <c r="B16" s="25" t="s">
        <v>27</v>
      </c>
      <c r="C16" s="26">
        <f>Budget_May!C11</f>
        <v>20</v>
      </c>
      <c r="D16" s="26">
        <f>Budget_May!H11</f>
        <v>0</v>
      </c>
      <c r="E16" s="26">
        <f t="shared" si="1"/>
        <v>20</v>
      </c>
      <c r="F16" s="27">
        <f t="shared" si="2"/>
        <v>0</v>
      </c>
      <c r="G16" s="28" t="str">
        <f t="shared" si="3"/>
        <v>Not started</v>
      </c>
      <c r="H16" s="29">
        <f>Budget_May!D11</f>
        <v>0</v>
      </c>
      <c r="I16" s="29">
        <f>Budget_May!E11</f>
        <v>0</v>
      </c>
      <c r="J16" s="29">
        <f>Budget_May!F11</f>
        <v>0</v>
      </c>
      <c r="K16" s="29">
        <f>Budget_May!G11</f>
        <v>0</v>
      </c>
    </row>
    <row r="17" ht="16.5" customHeight="1">
      <c r="B17" s="30" t="s">
        <v>28</v>
      </c>
      <c r="C17" s="31">
        <f>Budget_May!C12</f>
        <v>15</v>
      </c>
      <c r="D17" s="31">
        <f>Budget_May!H12</f>
        <v>0</v>
      </c>
      <c r="E17" s="31">
        <f t="shared" si="1"/>
        <v>15</v>
      </c>
      <c r="F17" s="32">
        <f t="shared" si="2"/>
        <v>0</v>
      </c>
      <c r="G17" s="33" t="str">
        <f t="shared" si="3"/>
        <v>Not started</v>
      </c>
      <c r="H17" s="34">
        <f>Budget_May!D12</f>
        <v>0</v>
      </c>
      <c r="I17" s="34">
        <f>Budget_May!E12</f>
        <v>0</v>
      </c>
      <c r="J17" s="34">
        <f>Budget_May!F12</f>
        <v>0</v>
      </c>
      <c r="K17" s="34">
        <f>Budget_May!G12</f>
        <v>0</v>
      </c>
    </row>
    <row r="18" ht="16.5" customHeight="1">
      <c r="B18" s="25" t="s">
        <v>29</v>
      </c>
      <c r="C18" s="26">
        <f>Budget_May!C13</f>
        <v>40</v>
      </c>
      <c r="D18" s="26">
        <f>Budget_May!H13</f>
        <v>70</v>
      </c>
      <c r="E18" s="26">
        <f t="shared" si="1"/>
        <v>-30</v>
      </c>
      <c r="F18" s="27">
        <f t="shared" si="2"/>
        <v>1.75</v>
      </c>
      <c r="G18" s="28" t="str">
        <f t="shared" si="3"/>
        <v>❌ Over budget</v>
      </c>
      <c r="H18" s="29">
        <f>Budget_May!D13</f>
        <v>0</v>
      </c>
      <c r="I18" s="29">
        <f>Budget_May!E13</f>
        <v>0</v>
      </c>
      <c r="J18" s="29">
        <f>Budget_May!F13</f>
        <v>70</v>
      </c>
      <c r="K18" s="29">
        <f>Budget_May!G13</f>
        <v>0</v>
      </c>
    </row>
    <row r="19" ht="16.5" customHeight="1">
      <c r="B19" s="30" t="s">
        <v>30</v>
      </c>
      <c r="C19" s="31">
        <f>Budget_May!C14</f>
        <v>10</v>
      </c>
      <c r="D19" s="31">
        <f>Budget_May!H14</f>
        <v>30</v>
      </c>
      <c r="E19" s="31">
        <f t="shared" si="1"/>
        <v>-20</v>
      </c>
      <c r="F19" s="32">
        <f t="shared" si="2"/>
        <v>3</v>
      </c>
      <c r="G19" s="33" t="str">
        <f t="shared" si="3"/>
        <v>❌ Over budget</v>
      </c>
      <c r="H19" s="34">
        <f>Budget_May!D14</f>
        <v>0</v>
      </c>
      <c r="I19" s="34">
        <f>Budget_May!E14</f>
        <v>30</v>
      </c>
      <c r="J19" s="34">
        <f>Budget_May!F14</f>
        <v>0</v>
      </c>
      <c r="K19" s="34">
        <f>Budget_May!G14</f>
        <v>0</v>
      </c>
    </row>
    <row r="20" ht="16.5" customHeight="1">
      <c r="B20" s="25" t="s">
        <v>31</v>
      </c>
      <c r="C20" s="26">
        <f>Budget_May!C15</f>
        <v>100</v>
      </c>
      <c r="D20" s="26">
        <f>Budget_May!H15</f>
        <v>0</v>
      </c>
      <c r="E20" s="26">
        <f t="shared" si="1"/>
        <v>100</v>
      </c>
      <c r="F20" s="27">
        <f t="shared" si="2"/>
        <v>0</v>
      </c>
      <c r="G20" s="28" t="str">
        <f t="shared" si="3"/>
        <v>Not started</v>
      </c>
      <c r="H20" s="29">
        <f>Budget_May!D15</f>
        <v>0</v>
      </c>
      <c r="I20" s="29">
        <f>Budget_May!E15</f>
        <v>0</v>
      </c>
      <c r="J20" s="29">
        <f>Budget_May!F15</f>
        <v>0</v>
      </c>
      <c r="K20" s="29">
        <f>Budget_May!G15</f>
        <v>0</v>
      </c>
    </row>
    <row r="21" ht="16.5" customHeight="1">
      <c r="B21" s="30" t="s">
        <v>32</v>
      </c>
      <c r="C21" s="31">
        <f>Budget_May!C16</f>
        <v>0</v>
      </c>
      <c r="D21" s="31">
        <f>Budget_May!H16</f>
        <v>0</v>
      </c>
      <c r="E21" s="31">
        <f t="shared" si="1"/>
        <v>0</v>
      </c>
      <c r="F21" s="32">
        <f t="shared" si="2"/>
        <v>0</v>
      </c>
      <c r="G21" s="33" t="str">
        <f t="shared" si="3"/>
        <v>—</v>
      </c>
      <c r="H21" s="34">
        <f>Budget_May!D16</f>
        <v>0</v>
      </c>
      <c r="I21" s="34">
        <f>Budget_May!E16</f>
        <v>0</v>
      </c>
      <c r="J21" s="34">
        <f>Budget_May!F16</f>
        <v>0</v>
      </c>
      <c r="K21" s="34">
        <f>Budget_May!G16</f>
        <v>0</v>
      </c>
    </row>
    <row r="22" ht="19.5" customHeight="1">
      <c r="B22" s="35" t="s">
        <v>33</v>
      </c>
      <c r="C22" s="36">
        <f t="shared" ref="C22:E22" si="4">SUM(C12:C21)</f>
        <v>460</v>
      </c>
      <c r="D22" s="36">
        <f t="shared" si="4"/>
        <v>133.8</v>
      </c>
      <c r="E22" s="36">
        <f t="shared" si="4"/>
        <v>326.2</v>
      </c>
      <c r="F22" s="37">
        <f t="shared" si="2"/>
        <v>0.2908695652</v>
      </c>
      <c r="G22" s="38"/>
      <c r="H22" s="36">
        <f t="shared" ref="H22:K22" si="5">SUM(H12:H21)</f>
        <v>0</v>
      </c>
      <c r="I22" s="36">
        <f t="shared" si="5"/>
        <v>51.9</v>
      </c>
      <c r="J22" s="36">
        <f t="shared" si="5"/>
        <v>81.9</v>
      </c>
      <c r="K22" s="36">
        <f t="shared" si="5"/>
        <v>0</v>
      </c>
    </row>
    <row r="23" ht="4.5" customHeight="1"/>
    <row r="24" ht="19.5" customHeight="1">
      <c r="B24" s="39" t="s">
        <v>34</v>
      </c>
      <c r="C24" s="2"/>
      <c r="D24" s="2"/>
      <c r="E24" s="2"/>
      <c r="F24" s="2"/>
      <c r="G24" s="2"/>
      <c r="H24" s="2"/>
      <c r="I24" s="2"/>
      <c r="J24" s="3"/>
    </row>
    <row r="25" ht="21.75" customHeight="1">
      <c r="B25" s="40" t="s">
        <v>35</v>
      </c>
      <c r="C25" s="40" t="s">
        <v>36</v>
      </c>
      <c r="D25" s="40" t="s">
        <v>37</v>
      </c>
      <c r="E25" s="40" t="s">
        <v>38</v>
      </c>
      <c r="F25" s="40" t="s">
        <v>18</v>
      </c>
      <c r="G25" s="40" t="s">
        <v>31</v>
      </c>
      <c r="H25" s="40" t="s">
        <v>39</v>
      </c>
      <c r="I25" s="40" t="s">
        <v>40</v>
      </c>
    </row>
    <row r="26" ht="15.75" customHeight="1">
      <c r="B26" s="41" t="s">
        <v>41</v>
      </c>
      <c r="C26" s="42">
        <f>SUM(Budget_Jan!C7:C16)</f>
        <v>460</v>
      </c>
      <c r="D26" s="42">
        <f>SUM(Budget_Jan!H7:H16)</f>
        <v>0</v>
      </c>
      <c r="E26" s="42">
        <f t="shared" ref="E26:E37" si="6">C26-D26</f>
        <v>460</v>
      </c>
      <c r="F26" s="43">
        <f t="shared" ref="F26:F37" si="7">IFERROR(D26/C26,0)</f>
        <v>0</v>
      </c>
      <c r="G26" s="42" t="str">
        <f>'Savings &amp; Goals'!C9</f>
        <v>Amount Saved (OMR)</v>
      </c>
      <c r="H26" s="44" t="str">
        <f t="array" ref="H26">IFERROR(INDEX(Budget_Jan!B7:B16,MATCH(MAX(Budget_Jan!H7:H16),Budget_Jan!H7:H16,0)),"—")</f>
        <v>Groceries</v>
      </c>
      <c r="I26" s="45"/>
    </row>
    <row r="27" ht="15.75" customHeight="1">
      <c r="B27" s="30" t="s">
        <v>42</v>
      </c>
      <c r="C27" s="31">
        <f>SUM(Budget_Feb!C7:C16)</f>
        <v>460</v>
      </c>
      <c r="D27" s="31">
        <f>SUM(Budget_Feb!H7:H16)</f>
        <v>0</v>
      </c>
      <c r="E27" s="31">
        <f t="shared" si="6"/>
        <v>460</v>
      </c>
      <c r="F27" s="32">
        <f t="shared" si="7"/>
        <v>0</v>
      </c>
      <c r="G27" s="31">
        <f>'Savings &amp; Goals'!C10</f>
        <v>0</v>
      </c>
      <c r="H27" s="33" t="str">
        <f t="array" ref="H27">IFERROR(INDEX(Budget_Feb!B7:B16,MATCH(MAX(Budget_Feb!H7:H16),Budget_Feb!H7:H16,0)),"—")</f>
        <v>Groceries</v>
      </c>
      <c r="I27" s="46" t="s">
        <v>43</v>
      </c>
    </row>
    <row r="28" ht="15.75" customHeight="1">
      <c r="B28" s="41" t="s">
        <v>44</v>
      </c>
      <c r="C28" s="42">
        <f>SUM(Budget_Mar!C7:C16)</f>
        <v>460</v>
      </c>
      <c r="D28" s="42">
        <f>SUM(Budget_Mar!H7:H16)</f>
        <v>0</v>
      </c>
      <c r="E28" s="42">
        <f t="shared" si="6"/>
        <v>460</v>
      </c>
      <c r="F28" s="43">
        <f t="shared" si="7"/>
        <v>0</v>
      </c>
      <c r="G28" s="42">
        <f>'Savings &amp; Goals'!C11</f>
        <v>0</v>
      </c>
      <c r="H28" s="44" t="str">
        <f t="array" ref="H28">IFERROR(INDEX(Budget_Mar!B7:B16,MATCH(MAX(Budget_Mar!H7:H16),Budget_Mar!H7:H16,0)),"—")</f>
        <v>Groceries</v>
      </c>
      <c r="I28" s="45"/>
    </row>
    <row r="29" ht="15.75" customHeight="1">
      <c r="B29" s="30" t="s">
        <v>45</v>
      </c>
      <c r="C29" s="31">
        <f>SUM(Budget_Apr!C7:C16)</f>
        <v>460</v>
      </c>
      <c r="D29" s="31">
        <f>SUM(Budget_Apr!H7:H16)</f>
        <v>0</v>
      </c>
      <c r="E29" s="31">
        <f t="shared" si="6"/>
        <v>460</v>
      </c>
      <c r="F29" s="32">
        <f t="shared" si="7"/>
        <v>0</v>
      </c>
      <c r="G29" s="31">
        <f>'Savings &amp; Goals'!C12</f>
        <v>0</v>
      </c>
      <c r="H29" s="33" t="str">
        <f t="array" ref="H29">IFERROR(INDEX(Budget_Apr!B7:B16,MATCH(MAX(Budget_Apr!H7:H16),Budget_Apr!H7:H16,0)),"—")</f>
        <v>Groceries</v>
      </c>
      <c r="I29" s="46" t="s">
        <v>46</v>
      </c>
    </row>
    <row r="30" ht="15.75" customHeight="1">
      <c r="B30" s="41" t="s">
        <v>47</v>
      </c>
      <c r="C30" s="42">
        <f>SUM(Budget_May!C7:C16)</f>
        <v>460</v>
      </c>
      <c r="D30" s="42">
        <f>SUM(Budget_May!H7:H16)</f>
        <v>133.8</v>
      </c>
      <c r="E30" s="42">
        <f t="shared" si="6"/>
        <v>326.2</v>
      </c>
      <c r="F30" s="43">
        <f t="shared" si="7"/>
        <v>0.2908695652</v>
      </c>
      <c r="G30" s="42">
        <f>'Savings &amp; Goals'!C13</f>
        <v>0</v>
      </c>
      <c r="H30" s="44" t="str">
        <f t="array" ref="H30">IFERROR(INDEX(Budget_May!B7:B16,MATCH(MAX(Budget_May!H7:H16),Budget_May!H7:H16,0)),"—")</f>
        <v>Miscellaneous</v>
      </c>
      <c r="I30" s="45"/>
    </row>
    <row r="31" ht="15.75" customHeight="1">
      <c r="B31" s="30" t="s">
        <v>48</v>
      </c>
      <c r="C31" s="31">
        <f>SUM(Budget_Jun!C7:C16)</f>
        <v>460</v>
      </c>
      <c r="D31" s="31">
        <f>SUM(Budget_Jun!H7:H16)</f>
        <v>155.02</v>
      </c>
      <c r="E31" s="31">
        <f t="shared" si="6"/>
        <v>304.98</v>
      </c>
      <c r="F31" s="32">
        <f t="shared" si="7"/>
        <v>0.337</v>
      </c>
      <c r="G31" s="31">
        <f>'Savings &amp; Goals'!C14</f>
        <v>0</v>
      </c>
      <c r="H31" s="33" t="str">
        <f t="array" ref="H31">IFERROR(INDEX(Budget_Jun!B7:B16,MATCH(MAX(Budget_Jun!H7:H16),Budget_Jun!H7:H16,0)),"—")</f>
        <v>Savings</v>
      </c>
      <c r="I31" s="47"/>
    </row>
    <row r="32" ht="15.75" customHeight="1">
      <c r="B32" s="48" t="s">
        <v>49</v>
      </c>
      <c r="C32" s="49">
        <f>SUM(Budget_Jul!C7:C16)</f>
        <v>460</v>
      </c>
      <c r="D32" s="49">
        <f>SUM(Budget_Jul!H7:H16)</f>
        <v>0</v>
      </c>
      <c r="E32" s="49">
        <f t="shared" si="6"/>
        <v>460</v>
      </c>
      <c r="F32" s="50">
        <f t="shared" si="7"/>
        <v>0</v>
      </c>
      <c r="G32" s="49">
        <f>'Savings &amp; Goals'!C15</f>
        <v>0</v>
      </c>
      <c r="H32" s="51" t="str">
        <f t="array" ref="H32">IFERROR(INDEX(Budget_Jul!B7:B16,MATCH(MAX(Budget_Jul!H7:H16),Budget_Jul!H7:H16,0)),"—")</f>
        <v>Groceries</v>
      </c>
      <c r="I32" s="52" t="s">
        <v>50</v>
      </c>
    </row>
    <row r="33" ht="15.75" customHeight="1">
      <c r="B33" s="30" t="s">
        <v>51</v>
      </c>
      <c r="C33" s="31">
        <f>SUM(Budget_Aug!C7:C16)</f>
        <v>460</v>
      </c>
      <c r="D33" s="31">
        <f>SUM(Budget_Aug!H7:H16)</f>
        <v>0</v>
      </c>
      <c r="E33" s="31">
        <f t="shared" si="6"/>
        <v>460</v>
      </c>
      <c r="F33" s="32">
        <f t="shared" si="7"/>
        <v>0</v>
      </c>
      <c r="G33" s="31">
        <f>'Savings &amp; Goals'!C16</f>
        <v>0</v>
      </c>
      <c r="H33" s="33" t="str">
        <f t="array" ref="H33">IFERROR(INDEX(Budget_Aug!B7:B16,MATCH(MAX(Budget_Aug!H7:H16),Budget_Aug!H7:H16,0)),"—")</f>
        <v>Groceries</v>
      </c>
      <c r="I33" s="47"/>
    </row>
    <row r="34" ht="15.75" customHeight="1">
      <c r="B34" s="41" t="s">
        <v>52</v>
      </c>
      <c r="C34" s="42">
        <f>SUM(Budget_Sep!C7:C16)</f>
        <v>460</v>
      </c>
      <c r="D34" s="42">
        <f>SUM(Budget_Sep!H7:H16)</f>
        <v>0</v>
      </c>
      <c r="E34" s="42">
        <f t="shared" si="6"/>
        <v>460</v>
      </c>
      <c r="F34" s="43">
        <f t="shared" si="7"/>
        <v>0</v>
      </c>
      <c r="G34" s="42">
        <f>'Savings &amp; Goals'!C17</f>
        <v>0</v>
      </c>
      <c r="H34" s="44" t="str">
        <f t="array" ref="H34">IFERROR(INDEX(Budget_Sep!B7:B16,MATCH(MAX(Budget_Sep!H7:H16),Budget_Sep!H7:H16,0)),"—")</f>
        <v>Groceries</v>
      </c>
      <c r="I34" s="45"/>
    </row>
    <row r="35" ht="15.75" customHeight="1">
      <c r="B35" s="30" t="s">
        <v>53</v>
      </c>
      <c r="C35" s="31">
        <f>SUM(Budget_Oct!C7:C16)</f>
        <v>460</v>
      </c>
      <c r="D35" s="31">
        <f>SUM(Budget_Oct!H7:H16)</f>
        <v>0</v>
      </c>
      <c r="E35" s="31">
        <f t="shared" si="6"/>
        <v>460</v>
      </c>
      <c r="F35" s="32">
        <f t="shared" si="7"/>
        <v>0</v>
      </c>
      <c r="G35" s="31">
        <f>'Savings &amp; Goals'!C18</f>
        <v>0</v>
      </c>
      <c r="H35" s="33" t="str">
        <f t="array" ref="H35">IFERROR(INDEX(Budget_Oct!B7:B16,MATCH(MAX(Budget_Oct!H7:H16),Budget_Oct!H7:H16,0)),"—")</f>
        <v>Groceries</v>
      </c>
      <c r="I35" s="47"/>
    </row>
    <row r="36" ht="15.75" customHeight="1">
      <c r="B36" s="41" t="s">
        <v>54</v>
      </c>
      <c r="C36" s="42">
        <f>SUM(Budget_Nov!C7:C16)</f>
        <v>460</v>
      </c>
      <c r="D36" s="42">
        <f>SUM(Budget_Nov!H7:H16)</f>
        <v>0</v>
      </c>
      <c r="E36" s="42">
        <f t="shared" si="6"/>
        <v>460</v>
      </c>
      <c r="F36" s="43">
        <f t="shared" si="7"/>
        <v>0</v>
      </c>
      <c r="G36" s="42">
        <f>'Savings &amp; Goals'!C19</f>
        <v>0</v>
      </c>
      <c r="H36" s="44" t="str">
        <f t="array" ref="H36">IFERROR(INDEX(Budget_Nov!B7:B16,MATCH(MAX(Budget_Nov!H7:H16),Budget_Nov!H7:H16,0)),"—")</f>
        <v>Groceries</v>
      </c>
      <c r="I36" s="45"/>
    </row>
    <row r="37" ht="15.75" customHeight="1">
      <c r="B37" s="30" t="s">
        <v>55</v>
      </c>
      <c r="C37" s="31">
        <f>SUM(Budget_Dec!C7:C16)</f>
        <v>460</v>
      </c>
      <c r="D37" s="31">
        <f>SUM(Budget_Dec!H7:H16)</f>
        <v>0</v>
      </c>
      <c r="E37" s="31">
        <f t="shared" si="6"/>
        <v>460</v>
      </c>
      <c r="F37" s="32">
        <f t="shared" si="7"/>
        <v>0</v>
      </c>
      <c r="G37" s="31">
        <f>'Savings &amp; Goals'!C20</f>
        <v>0</v>
      </c>
      <c r="H37" s="33" t="str">
        <f t="array" ref="H37">IFERROR(INDEX(Budget_Dec!B7:B16,MATCH(MAX(Budget_Dec!H7:H16),Budget_Dec!H7:H16,0)),"—")</f>
        <v>Groceries</v>
      </c>
      <c r="I37" s="46" t="s">
        <v>56</v>
      </c>
    </row>
    <row r="38" ht="4.5" customHeight="1"/>
    <row r="39" ht="19.5" customHeight="1">
      <c r="B39" s="53" t="s">
        <v>57</v>
      </c>
      <c r="C39" s="2"/>
      <c r="D39" s="2"/>
      <c r="E39" s="3"/>
      <c r="F39" s="16" t="s">
        <v>58</v>
      </c>
      <c r="G39" s="2"/>
      <c r="H39" s="2"/>
      <c r="I39" s="3"/>
    </row>
    <row r="40" ht="16.5" customHeight="1">
      <c r="B40" s="54" t="s">
        <v>59</v>
      </c>
      <c r="C40" s="54" t="s">
        <v>60</v>
      </c>
      <c r="D40" s="54" t="s">
        <v>61</v>
      </c>
      <c r="E40" s="54" t="s">
        <v>40</v>
      </c>
      <c r="F40" s="55" t="s">
        <v>62</v>
      </c>
      <c r="G40" s="55" t="s">
        <v>8</v>
      </c>
      <c r="H40" s="55" t="s">
        <v>9</v>
      </c>
      <c r="I40" s="55" t="s">
        <v>63</v>
      </c>
    </row>
    <row r="41" ht="15.75" customHeight="1">
      <c r="B41" s="56" t="s">
        <v>64</v>
      </c>
      <c r="C41" s="57">
        <f>Setup!C5</f>
        <v>603</v>
      </c>
      <c r="D41" s="58">
        <f>IFERROR(C41/Setup!C2,0)</f>
        <v>0.6828992072</v>
      </c>
      <c r="E41" s="59" t="s">
        <v>65</v>
      </c>
      <c r="F41" s="60" t="s">
        <v>66</v>
      </c>
      <c r="G41" s="61">
        <f>'Savings &amp; Goals'!D3</f>
        <v>250</v>
      </c>
      <c r="H41" s="61">
        <f>'Savings &amp; Goals'!E3</f>
        <v>2490</v>
      </c>
      <c r="I41" s="62">
        <f t="shared" ref="I41:I43" si="8">IFERROR(G41/H41,0)</f>
        <v>0.1004016064</v>
      </c>
    </row>
    <row r="42" ht="15.75" customHeight="1">
      <c r="B42" s="63" t="s">
        <v>67</v>
      </c>
      <c r="C42" s="64">
        <f>Setup!C9</f>
        <v>100</v>
      </c>
      <c r="D42" s="65">
        <f>IFERROR(C42/Setup!C2,0)</f>
        <v>0.1132502831</v>
      </c>
      <c r="E42" s="66" t="s">
        <v>68</v>
      </c>
      <c r="F42" s="67" t="s">
        <v>69</v>
      </c>
      <c r="G42" s="68">
        <f>'Savings &amp; Goals'!D4</f>
        <v>0</v>
      </c>
      <c r="H42" s="68">
        <f>'Savings &amp; Goals'!E4</f>
        <v>1400</v>
      </c>
      <c r="I42" s="69">
        <f t="shared" si="8"/>
        <v>0</v>
      </c>
    </row>
    <row r="43" ht="15.75" customHeight="1">
      <c r="B43" s="56" t="s">
        <v>70</v>
      </c>
      <c r="C43" s="57">
        <f>Setup!C8</f>
        <v>24.1</v>
      </c>
      <c r="D43" s="58">
        <f>IFERROR(C43/Setup!C2,0)</f>
        <v>0.02729331823</v>
      </c>
      <c r="E43" s="59" t="s">
        <v>71</v>
      </c>
      <c r="F43" s="60" t="s">
        <v>72</v>
      </c>
      <c r="G43" s="61">
        <f>'Savings &amp; Goals'!D5</f>
        <v>0</v>
      </c>
      <c r="H43" s="61">
        <f>'Savings &amp; Goals'!E5</f>
        <v>1200</v>
      </c>
      <c r="I43" s="62">
        <f t="shared" si="8"/>
        <v>0</v>
      </c>
    </row>
    <row r="44" ht="15.75" customHeight="1">
      <c r="B44" s="63" t="s">
        <v>73</v>
      </c>
      <c r="C44" s="64">
        <f>Setup!C10</f>
        <v>11</v>
      </c>
      <c r="D44" s="65">
        <f>IFERROR(C44/Setup!C2,0)</f>
        <v>0.01245753114</v>
      </c>
      <c r="E44" s="66" t="s">
        <v>74</v>
      </c>
    </row>
    <row r="45" ht="18.0" customHeight="1">
      <c r="B45" s="70" t="s">
        <v>75</v>
      </c>
      <c r="C45" s="71">
        <f>Setup!C11</f>
        <v>135.1</v>
      </c>
      <c r="D45" s="72">
        <f>IFERROR(Setup!C11/Setup!C2,0)</f>
        <v>0.1530011325</v>
      </c>
      <c r="E45" s="7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1:J1"/>
    <mergeCell ref="B6:J6"/>
    <mergeCell ref="B10:J10"/>
    <mergeCell ref="B24:J24"/>
    <mergeCell ref="B39:E39"/>
    <mergeCell ref="F39:I3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18.0"/>
    <col customWidth="1" min="4" max="4" width="25.0"/>
    <col customWidth="1" min="5" max="26" width="8.57"/>
  </cols>
  <sheetData>
    <row r="1" ht="21.75" customHeight="1">
      <c r="B1" s="22" t="s">
        <v>76</v>
      </c>
      <c r="C1" s="2"/>
      <c r="D1" s="3"/>
    </row>
    <row r="2" ht="15.75" customHeight="1">
      <c r="B2" s="74" t="s">
        <v>77</v>
      </c>
      <c r="C2" s="75">
        <v>883.0</v>
      </c>
    </row>
    <row r="3" ht="15.75" customHeight="1">
      <c r="B3" s="76" t="s">
        <v>78</v>
      </c>
      <c r="C3" s="77">
        <v>70.0</v>
      </c>
    </row>
    <row r="4" ht="15.75" customHeight="1">
      <c r="B4" s="74" t="s">
        <v>79</v>
      </c>
      <c r="C4" s="78" t="s">
        <v>80</v>
      </c>
    </row>
    <row r="5" ht="15.75" customHeight="1">
      <c r="B5" s="76" t="s">
        <v>81</v>
      </c>
      <c r="C5" s="79">
        <f>C2-280</f>
        <v>603</v>
      </c>
    </row>
    <row r="6" ht="15.75" customHeight="1">
      <c r="B6" s="80"/>
      <c r="C6" s="80"/>
    </row>
    <row r="7" ht="15.75" customHeight="1">
      <c r="B7" s="81" t="s">
        <v>82</v>
      </c>
      <c r="C7" s="80"/>
    </row>
    <row r="8" ht="15.75" customHeight="1">
      <c r="B8" s="74" t="s">
        <v>70</v>
      </c>
      <c r="C8" s="82">
        <v>24.1</v>
      </c>
    </row>
    <row r="9" ht="15.75" customHeight="1">
      <c r="B9" s="76" t="s">
        <v>83</v>
      </c>
      <c r="C9" s="77">
        <v>100.0</v>
      </c>
    </row>
    <row r="10" ht="15.75" customHeight="1">
      <c r="B10" s="74" t="s">
        <v>73</v>
      </c>
      <c r="C10" s="82">
        <v>11.0</v>
      </c>
    </row>
    <row r="11" ht="15.75" customHeight="1">
      <c r="B11" s="83" t="s">
        <v>84</v>
      </c>
      <c r="C11" s="79">
        <f>SUM(C8:C10)</f>
        <v>135.1</v>
      </c>
    </row>
    <row r="12" ht="15.75" customHeight="1">
      <c r="B12" s="80"/>
      <c r="C12" s="80"/>
    </row>
    <row r="13" ht="15.75" customHeight="1">
      <c r="B13" s="76" t="s">
        <v>85</v>
      </c>
      <c r="C13" s="84">
        <v>0.0</v>
      </c>
    </row>
    <row r="14" ht="15.75" customHeight="1">
      <c r="B14" s="85" t="s">
        <v>86</v>
      </c>
      <c r="C14" s="86">
        <f>C5-C11-C13</f>
        <v>467.9</v>
      </c>
    </row>
    <row r="15" ht="15.75" customHeight="1">
      <c r="B15" s="80"/>
      <c r="C15" s="80"/>
    </row>
    <row r="16" ht="15.75" customHeight="1">
      <c r="B16" s="74" t="s">
        <v>87</v>
      </c>
      <c r="C16" s="75">
        <v>200.0</v>
      </c>
    </row>
    <row r="17" ht="15.75" customHeight="1">
      <c r="B17" s="83" t="s">
        <v>88</v>
      </c>
      <c r="C17" s="79">
        <f>C11*6</f>
        <v>810.6</v>
      </c>
    </row>
    <row r="18" ht="15.75" customHeight="1">
      <c r="B18" s="74" t="s">
        <v>11</v>
      </c>
      <c r="C18" s="86">
        <f>IFERROR(C16/C11,0)</f>
        <v>1.4803849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28.0"/>
    <col customWidth="1" min="4" max="4" width="14.0"/>
    <col customWidth="1" min="5" max="5" width="22.0"/>
    <col customWidth="1" hidden="1" min="6" max="6" width="14.0"/>
    <col customWidth="1" min="7" max="7" width="20.0"/>
    <col customWidth="1" min="8" max="26" width="8.57"/>
  </cols>
  <sheetData>
    <row r="1" ht="21.75" customHeight="1">
      <c r="B1" s="87" t="s">
        <v>89</v>
      </c>
      <c r="C1" s="88"/>
      <c r="D1" s="88"/>
      <c r="E1" s="88"/>
      <c r="F1" s="89"/>
    </row>
    <row r="2" ht="37.5" customHeight="1">
      <c r="B2" s="90" t="s">
        <v>90</v>
      </c>
      <c r="C2" s="91" t="s">
        <v>91</v>
      </c>
      <c r="D2" s="92" t="s">
        <v>60</v>
      </c>
      <c r="E2" s="93" t="s">
        <v>14</v>
      </c>
      <c r="F2" s="93" t="s">
        <v>92</v>
      </c>
      <c r="G2" s="93" t="s">
        <v>93</v>
      </c>
    </row>
    <row r="3" ht="15.75" customHeight="1">
      <c r="B3" s="94">
        <v>46143.0</v>
      </c>
      <c r="C3" s="95" t="s">
        <v>94</v>
      </c>
      <c r="D3" s="96">
        <v>0.0</v>
      </c>
      <c r="E3" s="97" t="s">
        <v>31</v>
      </c>
      <c r="F3" s="98" t="s">
        <v>95</v>
      </c>
      <c r="G3" s="99" t="str">
        <f t="shared" ref="G3:G33" si="1">IF(B3="","",TEXT(B3,"MMMM YYYY"))</f>
        <v>May 2026</v>
      </c>
    </row>
    <row r="4" ht="15.0" customHeight="1">
      <c r="B4" s="100">
        <v>46159.0</v>
      </c>
      <c r="C4" s="101" t="s">
        <v>96</v>
      </c>
      <c r="D4" s="102">
        <v>70.0</v>
      </c>
      <c r="E4" s="103" t="s">
        <v>29</v>
      </c>
      <c r="F4" s="104" t="s">
        <v>95</v>
      </c>
      <c r="G4" s="105" t="str">
        <f t="shared" si="1"/>
        <v>May 2026</v>
      </c>
    </row>
    <row r="5" ht="15.0" customHeight="1">
      <c r="B5" s="100">
        <v>46159.0</v>
      </c>
      <c r="C5" s="101" t="s">
        <v>97</v>
      </c>
      <c r="D5" s="102">
        <v>1.9</v>
      </c>
      <c r="E5" s="103" t="s">
        <v>24</v>
      </c>
      <c r="F5" s="104" t="s">
        <v>95</v>
      </c>
      <c r="G5" s="105" t="str">
        <f t="shared" si="1"/>
        <v>May 2026</v>
      </c>
    </row>
    <row r="6" ht="15.0" customHeight="1">
      <c r="B6" s="100">
        <v>46159.0</v>
      </c>
      <c r="C6" s="106"/>
      <c r="D6" s="107">
        <v>5.0</v>
      </c>
      <c r="E6" s="103" t="s">
        <v>25</v>
      </c>
      <c r="F6" s="104" t="s">
        <v>95</v>
      </c>
      <c r="G6" s="105" t="str">
        <f t="shared" si="1"/>
        <v>May 2026</v>
      </c>
    </row>
    <row r="7" ht="15.0" customHeight="1">
      <c r="B7" s="100">
        <v>46159.0</v>
      </c>
      <c r="C7" s="106"/>
      <c r="D7" s="107">
        <v>1.6</v>
      </c>
      <c r="E7" s="103" t="s">
        <v>26</v>
      </c>
      <c r="F7" s="104" t="s">
        <v>95</v>
      </c>
      <c r="G7" s="105" t="str">
        <f t="shared" si="1"/>
        <v>May 2026</v>
      </c>
    </row>
    <row r="8" ht="15.0" customHeight="1">
      <c r="B8" s="100">
        <v>46158.0</v>
      </c>
      <c r="C8" s="106"/>
      <c r="D8" s="107">
        <v>3.4</v>
      </c>
      <c r="E8" s="103" t="s">
        <v>24</v>
      </c>
      <c r="F8" s="104" t="s">
        <v>95</v>
      </c>
      <c r="G8" s="105" t="str">
        <f t="shared" si="1"/>
        <v>May 2026</v>
      </c>
    </row>
    <row r="9" ht="15.0" customHeight="1">
      <c r="B9" s="100">
        <v>46157.0</v>
      </c>
      <c r="C9" s="108" t="s">
        <v>98</v>
      </c>
      <c r="D9" s="107">
        <v>30.0</v>
      </c>
      <c r="E9" s="103" t="s">
        <v>30</v>
      </c>
      <c r="F9" s="104" t="s">
        <v>95</v>
      </c>
      <c r="G9" s="105" t="str">
        <f t="shared" si="1"/>
        <v>May 2026</v>
      </c>
    </row>
    <row r="10" ht="15.0" customHeight="1">
      <c r="B10" s="100">
        <v>46157.0</v>
      </c>
      <c r="C10" s="108" t="s">
        <v>99</v>
      </c>
      <c r="D10" s="107">
        <v>4.2</v>
      </c>
      <c r="E10" s="103" t="s">
        <v>26</v>
      </c>
      <c r="F10" s="104" t="s">
        <v>95</v>
      </c>
      <c r="G10" s="105" t="str">
        <f t="shared" si="1"/>
        <v>May 2026</v>
      </c>
    </row>
    <row r="11" ht="15.0" customHeight="1">
      <c r="B11" s="100">
        <v>46157.0</v>
      </c>
      <c r="C11" s="106"/>
      <c r="D11" s="107">
        <v>10.0</v>
      </c>
      <c r="E11" s="103" t="s">
        <v>25</v>
      </c>
      <c r="F11" s="104" t="s">
        <v>95</v>
      </c>
      <c r="G11" s="105" t="str">
        <f t="shared" si="1"/>
        <v>May 2026</v>
      </c>
    </row>
    <row r="12" ht="15.0" customHeight="1">
      <c r="B12" s="100">
        <v>46156.0</v>
      </c>
      <c r="C12" s="106"/>
      <c r="D12" s="107">
        <v>7.7</v>
      </c>
      <c r="E12" s="103" t="s">
        <v>24</v>
      </c>
      <c r="F12" s="104" t="s">
        <v>95</v>
      </c>
      <c r="G12" s="105" t="str">
        <f t="shared" si="1"/>
        <v>May 2026</v>
      </c>
    </row>
    <row r="13" ht="15.0" customHeight="1">
      <c r="B13" s="100">
        <v>46158.0</v>
      </c>
      <c r="C13" s="106"/>
      <c r="D13" s="109"/>
      <c r="E13" s="110"/>
      <c r="F13" s="111"/>
      <c r="G13" s="105" t="str">
        <f t="shared" si="1"/>
        <v>May 2026</v>
      </c>
    </row>
    <row r="14" ht="15.0" customHeight="1">
      <c r="B14" s="100">
        <v>46174.0</v>
      </c>
      <c r="C14" s="106"/>
      <c r="D14" s="107">
        <v>3.0</v>
      </c>
      <c r="E14" s="103" t="s">
        <v>25</v>
      </c>
      <c r="F14" s="111"/>
      <c r="G14" s="105" t="str">
        <f t="shared" si="1"/>
        <v>June 2026</v>
      </c>
    </row>
    <row r="15" ht="15.0" customHeight="1">
      <c r="B15" s="100">
        <v>46174.0</v>
      </c>
      <c r="C15" s="106"/>
      <c r="D15" s="107">
        <v>3.35</v>
      </c>
      <c r="E15" s="103" t="s">
        <v>24</v>
      </c>
      <c r="F15" s="111"/>
      <c r="G15" s="105" t="str">
        <f t="shared" si="1"/>
        <v>June 2026</v>
      </c>
    </row>
    <row r="16" ht="15.0" customHeight="1">
      <c r="B16" s="100">
        <v>46174.0</v>
      </c>
      <c r="C16" s="101" t="s">
        <v>100</v>
      </c>
      <c r="D16" s="107">
        <v>1.5</v>
      </c>
      <c r="E16" s="103" t="s">
        <v>27</v>
      </c>
      <c r="F16" s="111"/>
      <c r="G16" s="105" t="str">
        <f t="shared" si="1"/>
        <v>June 2026</v>
      </c>
    </row>
    <row r="17" ht="15.0" customHeight="1">
      <c r="B17" s="100">
        <v>46174.0</v>
      </c>
      <c r="C17" s="106"/>
      <c r="D17" s="107">
        <v>3.87</v>
      </c>
      <c r="E17" s="103" t="s">
        <v>23</v>
      </c>
      <c r="F17" s="111"/>
      <c r="G17" s="105" t="str">
        <f t="shared" si="1"/>
        <v>June 2026</v>
      </c>
    </row>
    <row r="18" ht="15.0" customHeight="1">
      <c r="B18" s="100">
        <v>46174.0</v>
      </c>
      <c r="C18" s="106"/>
      <c r="D18" s="107">
        <v>1.0</v>
      </c>
      <c r="E18" s="103" t="s">
        <v>23</v>
      </c>
      <c r="F18" s="111"/>
      <c r="G18" s="105" t="str">
        <f t="shared" si="1"/>
        <v>June 2026</v>
      </c>
    </row>
    <row r="19" ht="15.0" customHeight="1">
      <c r="B19" s="100">
        <v>46174.0</v>
      </c>
      <c r="C19" s="106"/>
      <c r="D19" s="107">
        <v>2.3</v>
      </c>
      <c r="E19" s="103" t="s">
        <v>24</v>
      </c>
      <c r="F19" s="111"/>
      <c r="G19" s="105" t="str">
        <f t="shared" si="1"/>
        <v>June 2026</v>
      </c>
    </row>
    <row r="20" ht="15.0" customHeight="1">
      <c r="B20" s="100">
        <v>46174.0</v>
      </c>
      <c r="C20" s="106"/>
      <c r="D20" s="107">
        <v>5.6</v>
      </c>
      <c r="E20" s="103" t="s">
        <v>24</v>
      </c>
      <c r="F20" s="111"/>
      <c r="G20" s="105" t="str">
        <f t="shared" si="1"/>
        <v>June 2026</v>
      </c>
    </row>
    <row r="21" ht="15.0" customHeight="1">
      <c r="B21" s="100">
        <v>46174.0</v>
      </c>
      <c r="C21" s="108" t="s">
        <v>101</v>
      </c>
      <c r="D21" s="107">
        <v>32.0</v>
      </c>
      <c r="E21" s="103" t="s">
        <v>31</v>
      </c>
      <c r="F21" s="111"/>
      <c r="G21" s="105" t="str">
        <f t="shared" si="1"/>
        <v>June 2026</v>
      </c>
    </row>
    <row r="22" ht="15.0" customHeight="1">
      <c r="B22" s="100">
        <v>46174.0</v>
      </c>
      <c r="C22" s="106"/>
      <c r="D22" s="107">
        <v>2.1</v>
      </c>
      <c r="E22" s="103" t="s">
        <v>26</v>
      </c>
      <c r="F22" s="111"/>
      <c r="G22" s="105" t="str">
        <f t="shared" si="1"/>
        <v>June 2026</v>
      </c>
    </row>
    <row r="23" ht="15.0" customHeight="1">
      <c r="B23" s="100">
        <v>46174.0</v>
      </c>
      <c r="C23" s="108" t="s">
        <v>102</v>
      </c>
      <c r="D23" s="107">
        <v>52.0</v>
      </c>
      <c r="E23" s="103" t="s">
        <v>31</v>
      </c>
      <c r="F23" s="111"/>
      <c r="G23" s="105" t="str">
        <f t="shared" si="1"/>
        <v>June 2026</v>
      </c>
    </row>
    <row r="24" ht="15.0" customHeight="1">
      <c r="B24" s="100">
        <v>46174.0</v>
      </c>
      <c r="C24" s="106"/>
      <c r="D24" s="107">
        <v>1.0</v>
      </c>
      <c r="E24" s="103" t="s">
        <v>28</v>
      </c>
      <c r="F24" s="111"/>
      <c r="G24" s="105" t="str">
        <f t="shared" si="1"/>
        <v>June 2026</v>
      </c>
    </row>
    <row r="25" ht="15.0" customHeight="1">
      <c r="B25" s="100">
        <v>46174.0</v>
      </c>
      <c r="C25" s="106"/>
      <c r="D25" s="107">
        <v>16.5</v>
      </c>
      <c r="E25" s="103" t="s">
        <v>32</v>
      </c>
      <c r="F25" s="111"/>
      <c r="G25" s="105" t="str">
        <f t="shared" si="1"/>
        <v>June 2026</v>
      </c>
    </row>
    <row r="26" ht="15.0" customHeight="1">
      <c r="B26" s="100">
        <v>46174.0</v>
      </c>
      <c r="C26" s="106"/>
      <c r="D26" s="107">
        <v>6.0</v>
      </c>
      <c r="E26" s="103" t="s">
        <v>32</v>
      </c>
      <c r="F26" s="111"/>
      <c r="G26" s="105" t="str">
        <f t="shared" si="1"/>
        <v>June 2026</v>
      </c>
    </row>
    <row r="27" ht="15.0" customHeight="1">
      <c r="B27" s="100">
        <v>46174.0</v>
      </c>
      <c r="C27" s="106"/>
      <c r="D27" s="107">
        <v>5.4</v>
      </c>
      <c r="E27" s="103" t="s">
        <v>26</v>
      </c>
      <c r="F27" s="111"/>
      <c r="G27" s="105" t="str">
        <f t="shared" si="1"/>
        <v>June 2026</v>
      </c>
    </row>
    <row r="28" ht="15.0" customHeight="1">
      <c r="B28" s="100">
        <v>46174.0</v>
      </c>
      <c r="C28" s="108" t="s">
        <v>103</v>
      </c>
      <c r="D28" s="107">
        <v>5.6</v>
      </c>
      <c r="E28" s="103" t="s">
        <v>26</v>
      </c>
      <c r="F28" s="111"/>
      <c r="G28" s="105" t="str">
        <f t="shared" si="1"/>
        <v>June 2026</v>
      </c>
    </row>
    <row r="29" ht="15.0" customHeight="1">
      <c r="B29" s="100">
        <v>46174.0</v>
      </c>
      <c r="C29" s="108" t="s">
        <v>104</v>
      </c>
      <c r="D29" s="107">
        <v>9.0</v>
      </c>
      <c r="E29" s="103" t="s">
        <v>24</v>
      </c>
      <c r="F29" s="111"/>
      <c r="G29" s="105" t="str">
        <f t="shared" si="1"/>
        <v>June 2026</v>
      </c>
    </row>
    <row r="30" ht="15.0" customHeight="1">
      <c r="B30" s="100">
        <v>46181.0</v>
      </c>
      <c r="C30" s="106"/>
      <c r="D30" s="107">
        <v>1.9</v>
      </c>
      <c r="E30" s="103" t="s">
        <v>26</v>
      </c>
      <c r="F30" s="111"/>
      <c r="G30" s="105" t="str">
        <f t="shared" si="1"/>
        <v>June 2026</v>
      </c>
    </row>
    <row r="31" ht="15.0" customHeight="1">
      <c r="B31" s="100">
        <v>46181.0</v>
      </c>
      <c r="C31" s="106"/>
      <c r="D31" s="107">
        <v>2.9</v>
      </c>
      <c r="E31" s="103" t="s">
        <v>23</v>
      </c>
      <c r="F31" s="111"/>
      <c r="G31" s="105" t="str">
        <f t="shared" si="1"/>
        <v>June 2026</v>
      </c>
    </row>
    <row r="32" ht="15.0" customHeight="1">
      <c r="B32" s="100">
        <v>46174.0</v>
      </c>
      <c r="C32" s="106"/>
      <c r="D32" s="109"/>
      <c r="E32" s="110"/>
      <c r="F32" s="111"/>
      <c r="G32" s="105" t="str">
        <f t="shared" si="1"/>
        <v>June 2026</v>
      </c>
    </row>
    <row r="33" ht="15.0" customHeight="1">
      <c r="B33" s="100">
        <v>46174.0</v>
      </c>
      <c r="C33" s="106"/>
      <c r="D33" s="109"/>
      <c r="E33" s="110"/>
      <c r="F33" s="111"/>
      <c r="G33" s="105" t="str">
        <f t="shared" si="1"/>
        <v>June 2026</v>
      </c>
    </row>
    <row r="34" ht="15.0" customHeight="1">
      <c r="B34" s="100">
        <v>46174.0</v>
      </c>
      <c r="C34" s="106"/>
      <c r="D34" s="109"/>
      <c r="E34" s="110"/>
      <c r="F34" s="111"/>
      <c r="G34" s="110"/>
    </row>
    <row r="35" ht="15.0" customHeight="1">
      <c r="B35" s="100">
        <v>46174.0</v>
      </c>
      <c r="C35" s="106"/>
      <c r="D35" s="109"/>
      <c r="E35" s="110"/>
      <c r="F35" s="111"/>
      <c r="G35" s="110"/>
    </row>
    <row r="36" ht="15.0" customHeight="1">
      <c r="B36" s="100">
        <v>46174.0</v>
      </c>
      <c r="C36" s="106"/>
      <c r="D36" s="109"/>
      <c r="E36" s="110"/>
      <c r="F36" s="111"/>
      <c r="G36" s="110"/>
    </row>
    <row r="37" ht="15.0" customHeight="1">
      <c r="B37" s="112"/>
      <c r="C37" s="106"/>
      <c r="D37" s="109"/>
      <c r="E37" s="110"/>
      <c r="F37" s="111"/>
      <c r="G37" s="110"/>
    </row>
    <row r="38" ht="15.0" customHeight="1">
      <c r="B38" s="112"/>
      <c r="C38" s="106"/>
      <c r="D38" s="109"/>
      <c r="E38" s="110"/>
      <c r="F38" s="111"/>
      <c r="G38" s="110"/>
    </row>
    <row r="39" ht="15.0" customHeight="1">
      <c r="B39" s="112"/>
      <c r="C39" s="106"/>
      <c r="D39" s="109"/>
      <c r="E39" s="110"/>
      <c r="F39" s="111"/>
      <c r="G39" s="110"/>
    </row>
    <row r="40" ht="15.0" customHeight="1">
      <c r="B40" s="112"/>
      <c r="C40" s="106"/>
      <c r="D40" s="109"/>
      <c r="E40" s="110"/>
      <c r="F40" s="111"/>
      <c r="G40" s="110"/>
    </row>
    <row r="41" ht="15.0" customHeight="1">
      <c r="B41" s="112"/>
      <c r="C41" s="106"/>
      <c r="D41" s="109"/>
      <c r="E41" s="110"/>
      <c r="F41" s="111"/>
      <c r="G41" s="110"/>
    </row>
    <row r="42" ht="15.0" customHeight="1">
      <c r="B42" s="112"/>
      <c r="C42" s="106"/>
      <c r="D42" s="109"/>
      <c r="E42" s="110"/>
      <c r="F42" s="111"/>
      <c r="G42" s="110"/>
    </row>
    <row r="43" ht="15.0" customHeight="1">
      <c r="B43" s="112"/>
      <c r="C43" s="106"/>
      <c r="D43" s="109"/>
      <c r="E43" s="110"/>
      <c r="F43" s="111"/>
      <c r="G43" s="110"/>
    </row>
    <row r="44" ht="15.0" customHeight="1">
      <c r="B44" s="112"/>
      <c r="C44" s="106"/>
      <c r="D44" s="109"/>
      <c r="E44" s="110"/>
      <c r="F44" s="111"/>
      <c r="G44" s="110"/>
    </row>
    <row r="45" ht="15.0" customHeight="1">
      <c r="B45" s="112"/>
      <c r="C45" s="106"/>
      <c r="D45" s="109"/>
      <c r="E45" s="110"/>
      <c r="F45" s="111"/>
      <c r="G45" s="110"/>
    </row>
    <row r="46" ht="15.0" customHeight="1">
      <c r="B46" s="112"/>
      <c r="C46" s="106"/>
      <c r="D46" s="109"/>
      <c r="E46" s="110"/>
      <c r="F46" s="111"/>
      <c r="G46" s="110"/>
    </row>
    <row r="47" ht="15.0" customHeight="1">
      <c r="B47" s="112"/>
      <c r="C47" s="106"/>
      <c r="D47" s="109"/>
      <c r="E47" s="110"/>
      <c r="F47" s="111"/>
      <c r="G47" s="110"/>
    </row>
    <row r="48" ht="15.0" customHeight="1">
      <c r="B48" s="112"/>
      <c r="C48" s="106"/>
      <c r="D48" s="109"/>
      <c r="E48" s="110"/>
      <c r="F48" s="111"/>
      <c r="G48" s="110"/>
    </row>
    <row r="49" ht="15.0" customHeight="1">
      <c r="B49" s="112"/>
      <c r="C49" s="106"/>
      <c r="D49" s="109"/>
      <c r="E49" s="110"/>
      <c r="F49" s="111"/>
      <c r="G49" s="110"/>
    </row>
    <row r="50" ht="15.0" customHeight="1">
      <c r="B50" s="112"/>
      <c r="C50" s="106"/>
      <c r="D50" s="109"/>
      <c r="E50" s="110"/>
      <c r="F50" s="111"/>
      <c r="G50" s="110"/>
    </row>
    <row r="51" ht="15.0" customHeight="1">
      <c r="B51" s="112"/>
      <c r="C51" s="106"/>
      <c r="D51" s="109"/>
      <c r="E51" s="110"/>
      <c r="F51" s="111"/>
      <c r="G51" s="110"/>
    </row>
    <row r="52" ht="15.0" customHeight="1">
      <c r="B52" s="112"/>
      <c r="C52" s="106"/>
      <c r="D52" s="109"/>
      <c r="E52" s="110"/>
      <c r="F52" s="111"/>
      <c r="G52" s="110"/>
    </row>
    <row r="53" ht="15.0" customHeight="1">
      <c r="B53" s="112"/>
      <c r="C53" s="106"/>
      <c r="D53" s="109"/>
      <c r="E53" s="110"/>
      <c r="F53" s="111"/>
      <c r="G53" s="110"/>
    </row>
    <row r="54" ht="15.0" customHeight="1">
      <c r="B54" s="112"/>
      <c r="C54" s="106"/>
      <c r="D54" s="109"/>
      <c r="E54" s="110"/>
      <c r="F54" s="111"/>
      <c r="G54" s="110"/>
    </row>
    <row r="55" ht="15.0" customHeight="1">
      <c r="B55" s="112"/>
      <c r="C55" s="106"/>
      <c r="D55" s="109"/>
      <c r="E55" s="110"/>
      <c r="F55" s="111"/>
      <c r="G55" s="110"/>
    </row>
    <row r="56" ht="15.0" customHeight="1">
      <c r="B56" s="112"/>
      <c r="C56" s="106"/>
      <c r="D56" s="109"/>
      <c r="E56" s="110"/>
      <c r="F56" s="111"/>
      <c r="G56" s="110"/>
    </row>
    <row r="57" ht="15.0" customHeight="1">
      <c r="B57" s="112"/>
      <c r="C57" s="106"/>
      <c r="D57" s="109"/>
      <c r="E57" s="110"/>
      <c r="F57" s="111"/>
      <c r="G57" s="110"/>
    </row>
    <row r="58" ht="15.0" customHeight="1">
      <c r="B58" s="112"/>
      <c r="C58" s="106"/>
      <c r="D58" s="109"/>
      <c r="E58" s="110"/>
      <c r="F58" s="111"/>
      <c r="G58" s="110"/>
    </row>
    <row r="59" ht="15.0" customHeight="1">
      <c r="B59" s="112"/>
      <c r="C59" s="106"/>
      <c r="D59" s="109"/>
      <c r="E59" s="110"/>
      <c r="F59" s="111"/>
      <c r="G59" s="110"/>
    </row>
    <row r="60" ht="15.0" customHeight="1">
      <c r="B60" s="112"/>
      <c r="C60" s="106"/>
      <c r="D60" s="109"/>
      <c r="E60" s="110"/>
      <c r="F60" s="111"/>
      <c r="G60" s="110"/>
    </row>
    <row r="61" ht="15.0" customHeight="1">
      <c r="B61" s="112"/>
      <c r="C61" s="106"/>
      <c r="D61" s="109"/>
      <c r="E61" s="110"/>
      <c r="F61" s="111"/>
      <c r="G61" s="110"/>
    </row>
    <row r="62" ht="15.0" customHeight="1">
      <c r="B62" s="112"/>
      <c r="C62" s="106"/>
      <c r="D62" s="109"/>
      <c r="E62" s="110"/>
      <c r="F62" s="111"/>
      <c r="G62" s="110"/>
    </row>
    <row r="63" ht="15.0" customHeight="1">
      <c r="B63" s="112"/>
      <c r="C63" s="106"/>
      <c r="D63" s="109"/>
      <c r="E63" s="110"/>
      <c r="F63" s="111"/>
      <c r="G63" s="110"/>
    </row>
    <row r="64" ht="15.0" customHeight="1">
      <c r="B64" s="112"/>
      <c r="C64" s="106"/>
      <c r="D64" s="109"/>
      <c r="E64" s="110"/>
      <c r="F64" s="111"/>
      <c r="G64" s="110"/>
    </row>
    <row r="65" ht="15.0" customHeight="1">
      <c r="B65" s="112"/>
      <c r="C65" s="106"/>
      <c r="D65" s="109"/>
      <c r="E65" s="110"/>
      <c r="F65" s="111"/>
      <c r="G65" s="110"/>
    </row>
    <row r="66" ht="15.0" customHeight="1">
      <c r="B66" s="112"/>
      <c r="C66" s="106"/>
      <c r="D66" s="109"/>
      <c r="E66" s="110"/>
      <c r="F66" s="111"/>
      <c r="G66" s="110"/>
    </row>
    <row r="67" ht="15.0" customHeight="1">
      <c r="B67" s="112"/>
      <c r="C67" s="106"/>
      <c r="D67" s="109"/>
      <c r="E67" s="110"/>
      <c r="F67" s="111"/>
      <c r="G67" s="110"/>
    </row>
    <row r="68" ht="15.0" customHeight="1">
      <c r="B68" s="112"/>
      <c r="C68" s="106"/>
      <c r="D68" s="109"/>
      <c r="E68" s="110"/>
      <c r="F68" s="111"/>
      <c r="G68" s="110"/>
    </row>
    <row r="69" ht="15.0" customHeight="1">
      <c r="B69" s="112"/>
      <c r="C69" s="106"/>
      <c r="D69" s="109"/>
      <c r="E69" s="110"/>
      <c r="F69" s="111"/>
      <c r="G69" s="110"/>
    </row>
    <row r="70" ht="15.0" customHeight="1">
      <c r="B70" s="112"/>
      <c r="C70" s="106"/>
      <c r="D70" s="109"/>
      <c r="E70" s="110"/>
      <c r="F70" s="111"/>
      <c r="G70" s="110"/>
    </row>
    <row r="71" ht="15.0" customHeight="1">
      <c r="B71" s="112"/>
      <c r="C71" s="106"/>
      <c r="D71" s="109"/>
      <c r="E71" s="110"/>
      <c r="F71" s="111"/>
      <c r="G71" s="110"/>
    </row>
    <row r="72" ht="15.0" customHeight="1">
      <c r="B72" s="112"/>
      <c r="C72" s="106"/>
      <c r="D72" s="109"/>
      <c r="E72" s="110"/>
      <c r="F72" s="111"/>
      <c r="G72" s="110"/>
    </row>
    <row r="73" ht="15.0" customHeight="1">
      <c r="B73" s="112"/>
      <c r="C73" s="106"/>
      <c r="D73" s="109"/>
      <c r="E73" s="110"/>
      <c r="F73" s="111"/>
      <c r="G73" s="110"/>
    </row>
    <row r="74" ht="15.0" customHeight="1">
      <c r="B74" s="112"/>
      <c r="C74" s="106"/>
      <c r="D74" s="109"/>
      <c r="E74" s="110"/>
      <c r="F74" s="111"/>
      <c r="G74" s="110"/>
    </row>
    <row r="75" ht="15.0" customHeight="1">
      <c r="B75" s="112"/>
      <c r="C75" s="106"/>
      <c r="D75" s="109"/>
      <c r="E75" s="110"/>
      <c r="F75" s="111"/>
      <c r="G75" s="110"/>
    </row>
    <row r="76" ht="15.0" customHeight="1">
      <c r="B76" s="112"/>
      <c r="C76" s="106"/>
      <c r="D76" s="109"/>
      <c r="E76" s="110"/>
      <c r="F76" s="111"/>
      <c r="G76" s="110"/>
    </row>
    <row r="77" ht="15.0" customHeight="1">
      <c r="B77" s="112"/>
      <c r="C77" s="106"/>
      <c r="D77" s="109"/>
      <c r="E77" s="110"/>
      <c r="F77" s="111"/>
      <c r="G77" s="110"/>
    </row>
    <row r="78" ht="15.0" customHeight="1">
      <c r="B78" s="112"/>
      <c r="C78" s="106"/>
      <c r="D78" s="109"/>
      <c r="E78" s="110"/>
      <c r="F78" s="111"/>
      <c r="G78" s="110"/>
    </row>
    <row r="79" ht="15.0" customHeight="1">
      <c r="B79" s="112"/>
      <c r="C79" s="106"/>
      <c r="D79" s="109"/>
      <c r="E79" s="110"/>
      <c r="F79" s="111"/>
      <c r="G79" s="110"/>
    </row>
    <row r="80" ht="15.0" customHeight="1">
      <c r="B80" s="112"/>
      <c r="C80" s="106"/>
      <c r="D80" s="109"/>
      <c r="E80" s="110"/>
      <c r="F80" s="111"/>
      <c r="G80" s="110"/>
    </row>
    <row r="81" ht="15.0" customHeight="1">
      <c r="B81" s="112"/>
      <c r="C81" s="106"/>
      <c r="D81" s="109"/>
      <c r="E81" s="110"/>
      <c r="F81" s="111"/>
      <c r="G81" s="110"/>
    </row>
    <row r="82" ht="15.0" customHeight="1">
      <c r="B82" s="112"/>
      <c r="C82" s="106"/>
      <c r="D82" s="109"/>
      <c r="E82" s="110"/>
      <c r="F82" s="111"/>
      <c r="G82" s="110"/>
    </row>
    <row r="83" ht="15.0" customHeight="1">
      <c r="B83" s="112"/>
      <c r="C83" s="106"/>
      <c r="D83" s="109"/>
      <c r="E83" s="110"/>
      <c r="F83" s="111"/>
      <c r="G83" s="110"/>
    </row>
    <row r="84" ht="15.0" customHeight="1">
      <c r="B84" s="112"/>
      <c r="C84" s="106"/>
      <c r="D84" s="109"/>
      <c r="E84" s="110"/>
      <c r="F84" s="111"/>
      <c r="G84" s="110"/>
    </row>
    <row r="85" ht="15.0" customHeight="1">
      <c r="B85" s="112"/>
      <c r="C85" s="106"/>
      <c r="D85" s="109"/>
      <c r="E85" s="110"/>
      <c r="F85" s="111"/>
      <c r="G85" s="110"/>
    </row>
    <row r="86" ht="15.0" customHeight="1">
      <c r="B86" s="112"/>
      <c r="C86" s="106"/>
      <c r="D86" s="109"/>
      <c r="E86" s="110"/>
      <c r="F86" s="111"/>
      <c r="G86" s="110"/>
    </row>
    <row r="87" ht="15.0" customHeight="1">
      <c r="B87" s="112"/>
      <c r="C87" s="106"/>
      <c r="D87" s="109"/>
      <c r="E87" s="110"/>
      <c r="F87" s="111"/>
      <c r="G87" s="110"/>
    </row>
    <row r="88" ht="15.0" customHeight="1">
      <c r="B88" s="112"/>
      <c r="C88" s="106"/>
      <c r="D88" s="109"/>
      <c r="E88" s="110"/>
      <c r="F88" s="111"/>
      <c r="G88" s="110"/>
    </row>
    <row r="89" ht="15.0" customHeight="1">
      <c r="B89" s="112"/>
      <c r="C89" s="106"/>
      <c r="D89" s="109"/>
      <c r="E89" s="110"/>
      <c r="F89" s="111"/>
      <c r="G89" s="110"/>
    </row>
    <row r="90" ht="15.0" customHeight="1">
      <c r="B90" s="112"/>
      <c r="C90" s="106"/>
      <c r="D90" s="109"/>
      <c r="E90" s="110"/>
      <c r="F90" s="111"/>
      <c r="G90" s="110"/>
    </row>
    <row r="91" ht="15.0" customHeight="1">
      <c r="B91" s="112"/>
      <c r="C91" s="106"/>
      <c r="D91" s="109"/>
      <c r="E91" s="110"/>
      <c r="F91" s="111"/>
      <c r="G91" s="110"/>
    </row>
    <row r="92" ht="15.0" customHeight="1">
      <c r="B92" s="112"/>
      <c r="C92" s="106"/>
      <c r="D92" s="109"/>
      <c r="E92" s="110"/>
      <c r="F92" s="111"/>
      <c r="G92" s="110"/>
    </row>
    <row r="93" ht="15.0" customHeight="1">
      <c r="B93" s="112"/>
      <c r="C93" s="106"/>
      <c r="D93" s="109"/>
      <c r="E93" s="110"/>
      <c r="F93" s="111"/>
      <c r="G93" s="110"/>
    </row>
    <row r="94" ht="15.0" customHeight="1">
      <c r="B94" s="112"/>
      <c r="C94" s="106"/>
      <c r="D94" s="109"/>
      <c r="E94" s="110"/>
      <c r="F94" s="111"/>
      <c r="G94" s="110"/>
    </row>
    <row r="95" ht="15.0" customHeight="1">
      <c r="B95" s="112"/>
      <c r="C95" s="106"/>
      <c r="D95" s="109"/>
      <c r="E95" s="110"/>
      <c r="F95" s="111"/>
      <c r="G95" s="110"/>
    </row>
    <row r="96" ht="15.0" customHeight="1">
      <c r="B96" s="112"/>
      <c r="C96" s="106"/>
      <c r="D96" s="109"/>
      <c r="E96" s="110"/>
      <c r="F96" s="111"/>
      <c r="G96" s="110"/>
    </row>
    <row r="97" ht="15.0" customHeight="1">
      <c r="B97" s="112"/>
      <c r="C97" s="106"/>
      <c r="D97" s="109"/>
      <c r="E97" s="110"/>
      <c r="F97" s="111"/>
      <c r="G97" s="110"/>
    </row>
    <row r="98" ht="15.0" customHeight="1">
      <c r="B98" s="112"/>
      <c r="C98" s="106"/>
      <c r="D98" s="109"/>
      <c r="E98" s="110"/>
      <c r="F98" s="111"/>
      <c r="G98" s="110"/>
    </row>
    <row r="99" ht="15.0" customHeight="1">
      <c r="B99" s="112"/>
      <c r="C99" s="106"/>
      <c r="D99" s="109"/>
      <c r="E99" s="110"/>
      <c r="F99" s="111"/>
      <c r="G99" s="110"/>
    </row>
    <row r="100" ht="15.0" customHeight="1">
      <c r="B100" s="112"/>
      <c r="C100" s="106"/>
      <c r="D100" s="109"/>
      <c r="E100" s="110"/>
      <c r="F100" s="111"/>
      <c r="G100" s="110"/>
    </row>
    <row r="101" ht="15.0" customHeight="1">
      <c r="B101" s="112"/>
      <c r="C101" s="106"/>
      <c r="D101" s="109"/>
      <c r="E101" s="110"/>
      <c r="F101" s="111"/>
      <c r="G101" s="110"/>
    </row>
    <row r="102" ht="15.0" customHeight="1">
      <c r="B102" s="112"/>
      <c r="C102" s="106"/>
      <c r="D102" s="109"/>
      <c r="E102" s="110"/>
      <c r="F102" s="111"/>
      <c r="G102" s="110"/>
    </row>
    <row r="103" ht="15.0" customHeight="1">
      <c r="B103" s="112"/>
      <c r="C103" s="106"/>
      <c r="D103" s="109"/>
      <c r="E103" s="110"/>
      <c r="F103" s="111"/>
      <c r="G103" s="110"/>
    </row>
    <row r="104" ht="15.0" customHeight="1">
      <c r="B104" s="112"/>
      <c r="C104" s="106"/>
      <c r="D104" s="109"/>
      <c r="E104" s="110"/>
      <c r="F104" s="111"/>
      <c r="G104" s="110"/>
    </row>
    <row r="105" ht="15.0" customHeight="1">
      <c r="B105" s="112"/>
      <c r="C105" s="106"/>
      <c r="D105" s="109"/>
      <c r="E105" s="110"/>
      <c r="F105" s="111"/>
      <c r="G105" s="110"/>
    </row>
    <row r="106" ht="15.0" customHeight="1">
      <c r="B106" s="112"/>
      <c r="C106" s="106"/>
      <c r="D106" s="109"/>
      <c r="E106" s="110"/>
      <c r="F106" s="111"/>
      <c r="G106" s="110"/>
    </row>
    <row r="107" ht="15.0" customHeight="1">
      <c r="B107" s="112"/>
      <c r="C107" s="106"/>
      <c r="D107" s="109"/>
      <c r="E107" s="110"/>
      <c r="F107" s="111"/>
      <c r="G107" s="110"/>
    </row>
    <row r="108" ht="15.0" customHeight="1">
      <c r="B108" s="112"/>
      <c r="C108" s="106"/>
      <c r="D108" s="109"/>
      <c r="E108" s="110"/>
      <c r="F108" s="111"/>
      <c r="G108" s="110"/>
    </row>
    <row r="109" ht="15.0" customHeight="1">
      <c r="B109" s="112"/>
      <c r="C109" s="106"/>
      <c r="D109" s="109"/>
      <c r="E109" s="110"/>
      <c r="F109" s="111"/>
      <c r="G109" s="110"/>
    </row>
    <row r="110" ht="15.0" customHeight="1">
      <c r="B110" s="112"/>
      <c r="C110" s="106"/>
      <c r="D110" s="109"/>
      <c r="E110" s="110"/>
      <c r="F110" s="111"/>
      <c r="G110" s="110"/>
    </row>
    <row r="111" ht="15.0" customHeight="1">
      <c r="B111" s="112"/>
      <c r="C111" s="106"/>
      <c r="D111" s="109"/>
      <c r="E111" s="110"/>
      <c r="F111" s="111"/>
      <c r="G111" s="110"/>
    </row>
    <row r="112" ht="15.0" customHeight="1">
      <c r="B112" s="112"/>
      <c r="C112" s="106"/>
      <c r="D112" s="109"/>
      <c r="E112" s="110"/>
      <c r="F112" s="111"/>
      <c r="G112" s="110"/>
    </row>
    <row r="113" ht="15.0" customHeight="1">
      <c r="B113" s="112"/>
      <c r="C113" s="106"/>
      <c r="D113" s="109"/>
      <c r="E113" s="110"/>
      <c r="F113" s="111"/>
      <c r="G113" s="110"/>
    </row>
    <row r="114" ht="15.0" customHeight="1">
      <c r="B114" s="112"/>
      <c r="C114" s="106"/>
      <c r="D114" s="109"/>
      <c r="E114" s="110"/>
      <c r="F114" s="111"/>
      <c r="G114" s="110"/>
    </row>
    <row r="115" ht="15.0" customHeight="1">
      <c r="B115" s="112"/>
      <c r="C115" s="106"/>
      <c r="D115" s="109"/>
      <c r="E115" s="110"/>
      <c r="F115" s="111"/>
      <c r="G115" s="110"/>
    </row>
    <row r="116" ht="15.0" customHeight="1">
      <c r="B116" s="112"/>
      <c r="C116" s="106"/>
      <c r="D116" s="109"/>
      <c r="E116" s="110"/>
      <c r="F116" s="111"/>
      <c r="G116" s="110"/>
    </row>
    <row r="117" ht="15.0" customHeight="1">
      <c r="B117" s="112"/>
      <c r="C117" s="106"/>
      <c r="D117" s="109"/>
      <c r="E117" s="110"/>
      <c r="F117" s="111"/>
      <c r="G117" s="110"/>
    </row>
    <row r="118" ht="15.0" customHeight="1">
      <c r="B118" s="112"/>
      <c r="C118" s="106"/>
      <c r="D118" s="109"/>
      <c r="E118" s="110"/>
      <c r="F118" s="111"/>
      <c r="G118" s="110"/>
    </row>
    <row r="119" ht="15.0" customHeight="1">
      <c r="B119" s="112"/>
      <c r="C119" s="106"/>
      <c r="D119" s="109"/>
      <c r="E119" s="110"/>
      <c r="F119" s="111"/>
      <c r="G119" s="110"/>
    </row>
    <row r="120" ht="15.0" customHeight="1">
      <c r="B120" s="112"/>
      <c r="C120" s="106"/>
      <c r="D120" s="109"/>
      <c r="E120" s="110"/>
      <c r="F120" s="111"/>
      <c r="G120" s="110"/>
    </row>
    <row r="121" ht="15.0" customHeight="1">
      <c r="B121" s="112"/>
      <c r="C121" s="106"/>
      <c r="D121" s="109"/>
      <c r="E121" s="110"/>
      <c r="F121" s="111"/>
      <c r="G121" s="110"/>
    </row>
    <row r="122" ht="15.0" customHeight="1">
      <c r="B122" s="112"/>
      <c r="C122" s="106"/>
      <c r="D122" s="109"/>
      <c r="E122" s="110"/>
      <c r="F122" s="111"/>
      <c r="G122" s="110"/>
    </row>
    <row r="123" ht="15.0" customHeight="1">
      <c r="B123" s="112"/>
      <c r="C123" s="106"/>
      <c r="D123" s="109"/>
      <c r="E123" s="110"/>
      <c r="F123" s="111"/>
      <c r="G123" s="110"/>
    </row>
    <row r="124" ht="15.0" customHeight="1">
      <c r="B124" s="112"/>
      <c r="C124" s="106"/>
      <c r="D124" s="109"/>
      <c r="E124" s="110"/>
      <c r="F124" s="111"/>
      <c r="G124" s="110"/>
    </row>
    <row r="125" ht="15.0" customHeight="1">
      <c r="B125" s="112"/>
      <c r="C125" s="106"/>
      <c r="D125" s="109"/>
      <c r="E125" s="110"/>
      <c r="F125" s="111"/>
      <c r="G125" s="110"/>
    </row>
    <row r="126" ht="15.0" customHeight="1">
      <c r="B126" s="112"/>
      <c r="C126" s="106"/>
      <c r="D126" s="109"/>
      <c r="E126" s="110"/>
      <c r="F126" s="111"/>
      <c r="G126" s="110"/>
    </row>
    <row r="127" ht="15.0" customHeight="1">
      <c r="B127" s="112"/>
      <c r="C127" s="106"/>
      <c r="D127" s="109"/>
      <c r="E127" s="110"/>
      <c r="F127" s="111"/>
      <c r="G127" s="110"/>
    </row>
    <row r="128" ht="15.0" customHeight="1">
      <c r="B128" s="112"/>
      <c r="C128" s="106"/>
      <c r="D128" s="109"/>
      <c r="E128" s="110"/>
      <c r="F128" s="111"/>
      <c r="G128" s="110"/>
    </row>
    <row r="129" ht="15.0" customHeight="1">
      <c r="B129" s="112"/>
      <c r="C129" s="106"/>
      <c r="D129" s="109"/>
      <c r="E129" s="110"/>
      <c r="F129" s="111"/>
      <c r="G129" s="110"/>
    </row>
    <row r="130" ht="15.0" customHeight="1">
      <c r="B130" s="112"/>
      <c r="C130" s="106"/>
      <c r="D130" s="109"/>
      <c r="E130" s="110"/>
      <c r="F130" s="111"/>
      <c r="G130" s="110"/>
    </row>
    <row r="131" ht="15.0" customHeight="1">
      <c r="B131" s="112"/>
      <c r="C131" s="106"/>
      <c r="D131" s="109"/>
      <c r="E131" s="110"/>
      <c r="F131" s="111"/>
      <c r="G131" s="110"/>
    </row>
    <row r="132" ht="15.0" customHeight="1">
      <c r="B132" s="112"/>
      <c r="C132" s="106"/>
      <c r="D132" s="109"/>
      <c r="E132" s="110"/>
      <c r="F132" s="111"/>
      <c r="G132" s="110"/>
    </row>
    <row r="133" ht="15.0" customHeight="1">
      <c r="B133" s="112"/>
      <c r="C133" s="106"/>
      <c r="D133" s="109"/>
      <c r="E133" s="110"/>
      <c r="F133" s="111"/>
      <c r="G133" s="110"/>
    </row>
    <row r="134" ht="15.0" customHeight="1">
      <c r="B134" s="112"/>
      <c r="C134" s="106"/>
      <c r="D134" s="109"/>
      <c r="E134" s="110"/>
      <c r="F134" s="111"/>
      <c r="G134" s="110"/>
    </row>
    <row r="135" ht="15.0" customHeight="1">
      <c r="B135" s="112"/>
      <c r="C135" s="106"/>
      <c r="D135" s="109"/>
      <c r="E135" s="110"/>
      <c r="F135" s="111"/>
      <c r="G135" s="110"/>
    </row>
    <row r="136" ht="15.0" customHeight="1">
      <c r="B136" s="112"/>
      <c r="C136" s="106"/>
      <c r="D136" s="109"/>
      <c r="E136" s="110"/>
      <c r="F136" s="111"/>
      <c r="G136" s="110"/>
    </row>
    <row r="137" ht="15.0" customHeight="1">
      <c r="B137" s="112"/>
      <c r="C137" s="106"/>
      <c r="D137" s="109"/>
      <c r="E137" s="110"/>
      <c r="F137" s="111"/>
      <c r="G137" s="110"/>
    </row>
    <row r="138" ht="15.0" customHeight="1">
      <c r="B138" s="112"/>
      <c r="C138" s="106"/>
      <c r="D138" s="109"/>
      <c r="E138" s="110"/>
      <c r="F138" s="111"/>
      <c r="G138" s="110"/>
    </row>
    <row r="139" ht="15.0" customHeight="1">
      <c r="B139" s="112"/>
      <c r="C139" s="106"/>
      <c r="D139" s="109"/>
      <c r="E139" s="110"/>
      <c r="F139" s="111"/>
      <c r="G139" s="110"/>
    </row>
    <row r="140" ht="15.0" customHeight="1">
      <c r="B140" s="112"/>
      <c r="C140" s="106"/>
      <c r="D140" s="109"/>
      <c r="E140" s="110"/>
      <c r="F140" s="111"/>
      <c r="G140" s="110"/>
    </row>
    <row r="141" ht="15.0" customHeight="1">
      <c r="B141" s="112"/>
      <c r="C141" s="106"/>
      <c r="D141" s="109"/>
      <c r="E141" s="110"/>
      <c r="F141" s="111"/>
      <c r="G141" s="110"/>
    </row>
    <row r="142" ht="15.0" customHeight="1">
      <c r="B142" s="112"/>
      <c r="C142" s="106"/>
      <c r="D142" s="109"/>
      <c r="E142" s="110"/>
      <c r="F142" s="111"/>
      <c r="G142" s="110"/>
    </row>
    <row r="143" ht="15.0" customHeight="1">
      <c r="B143" s="112"/>
      <c r="C143" s="106"/>
      <c r="D143" s="109"/>
      <c r="E143" s="110"/>
      <c r="F143" s="111"/>
      <c r="G143" s="110"/>
    </row>
    <row r="144" ht="15.0" customHeight="1">
      <c r="B144" s="112"/>
      <c r="C144" s="106"/>
      <c r="D144" s="109"/>
      <c r="E144" s="110"/>
      <c r="F144" s="111"/>
      <c r="G144" s="110"/>
    </row>
    <row r="145" ht="15.0" customHeight="1">
      <c r="B145" s="112"/>
      <c r="C145" s="106"/>
      <c r="D145" s="109"/>
      <c r="E145" s="110"/>
      <c r="F145" s="111"/>
      <c r="G145" s="110"/>
    </row>
    <row r="146" ht="15.0" customHeight="1">
      <c r="B146" s="112"/>
      <c r="C146" s="106"/>
      <c r="D146" s="109"/>
      <c r="E146" s="110"/>
      <c r="F146" s="111"/>
      <c r="G146" s="110"/>
    </row>
    <row r="147" ht="15.0" customHeight="1">
      <c r="B147" s="112"/>
      <c r="C147" s="106"/>
      <c r="D147" s="109"/>
      <c r="E147" s="110"/>
      <c r="F147" s="111"/>
      <c r="G147" s="110"/>
    </row>
    <row r="148" ht="15.0" customHeight="1">
      <c r="B148" s="112"/>
      <c r="C148" s="106"/>
      <c r="D148" s="109"/>
      <c r="E148" s="110"/>
      <c r="F148" s="111"/>
      <c r="G148" s="110"/>
    </row>
    <row r="149" ht="15.0" customHeight="1">
      <c r="B149" s="112"/>
      <c r="C149" s="106"/>
      <c r="D149" s="109"/>
      <c r="E149" s="110"/>
      <c r="F149" s="111"/>
      <c r="G149" s="110"/>
    </row>
    <row r="150" ht="15.0" customHeight="1">
      <c r="B150" s="112"/>
      <c r="C150" s="106"/>
      <c r="D150" s="109"/>
      <c r="E150" s="110"/>
      <c r="F150" s="111"/>
      <c r="G150" s="110"/>
    </row>
    <row r="151" ht="15.0" customHeight="1">
      <c r="B151" s="112"/>
      <c r="C151" s="106"/>
      <c r="D151" s="109"/>
      <c r="E151" s="110"/>
      <c r="F151" s="111"/>
      <c r="G151" s="110"/>
    </row>
    <row r="152" ht="15.0" customHeight="1">
      <c r="B152" s="112"/>
      <c r="C152" s="106"/>
      <c r="D152" s="109"/>
      <c r="E152" s="110"/>
      <c r="F152" s="111"/>
      <c r="G152" s="110"/>
    </row>
    <row r="153" ht="15.0" customHeight="1">
      <c r="B153" s="112"/>
      <c r="C153" s="106"/>
      <c r="D153" s="109"/>
      <c r="E153" s="110"/>
      <c r="F153" s="111"/>
      <c r="G153" s="110"/>
    </row>
    <row r="154" ht="15.0" customHeight="1">
      <c r="B154" s="112"/>
      <c r="C154" s="106"/>
      <c r="D154" s="109"/>
      <c r="E154" s="110"/>
      <c r="F154" s="111"/>
      <c r="G154" s="110"/>
    </row>
    <row r="155" ht="15.0" customHeight="1">
      <c r="B155" s="112"/>
      <c r="C155" s="106"/>
      <c r="D155" s="109"/>
      <c r="E155" s="110"/>
      <c r="F155" s="111"/>
      <c r="G155" s="110"/>
    </row>
    <row r="156" ht="15.0" customHeight="1">
      <c r="B156" s="112"/>
      <c r="C156" s="106"/>
      <c r="D156" s="109"/>
      <c r="E156" s="110"/>
      <c r="F156" s="111"/>
      <c r="G156" s="110"/>
    </row>
    <row r="157" ht="15.0" customHeight="1">
      <c r="B157" s="112"/>
      <c r="C157" s="106"/>
      <c r="D157" s="109"/>
      <c r="E157" s="110"/>
      <c r="F157" s="111"/>
      <c r="G157" s="110"/>
    </row>
    <row r="158" ht="15.0" customHeight="1">
      <c r="B158" s="112"/>
      <c r="C158" s="106"/>
      <c r="D158" s="109"/>
      <c r="E158" s="110"/>
      <c r="F158" s="111"/>
      <c r="G158" s="110"/>
    </row>
    <row r="159" ht="15.0" customHeight="1">
      <c r="B159" s="112"/>
      <c r="C159" s="106"/>
      <c r="D159" s="109"/>
      <c r="E159" s="110"/>
      <c r="F159" s="111"/>
      <c r="G159" s="110"/>
    </row>
    <row r="160" ht="15.0" customHeight="1">
      <c r="B160" s="112"/>
      <c r="C160" s="106"/>
      <c r="D160" s="109"/>
      <c r="E160" s="110"/>
      <c r="F160" s="111"/>
      <c r="G160" s="110"/>
    </row>
    <row r="161" ht="15.0" customHeight="1">
      <c r="B161" s="112"/>
      <c r="C161" s="106"/>
      <c r="D161" s="109"/>
      <c r="E161" s="110"/>
      <c r="F161" s="111"/>
      <c r="G161" s="110"/>
    </row>
    <row r="162" ht="15.0" customHeight="1">
      <c r="B162" s="112"/>
      <c r="C162" s="106"/>
      <c r="D162" s="109"/>
      <c r="E162" s="110"/>
      <c r="F162" s="111"/>
      <c r="G162" s="110"/>
    </row>
    <row r="163" ht="15.0" customHeight="1">
      <c r="B163" s="112"/>
      <c r="C163" s="106"/>
      <c r="D163" s="109"/>
      <c r="E163" s="110"/>
      <c r="F163" s="111"/>
      <c r="G163" s="110"/>
    </row>
    <row r="164" ht="15.0" customHeight="1">
      <c r="B164" s="112"/>
      <c r="C164" s="106"/>
      <c r="D164" s="109"/>
      <c r="E164" s="110"/>
      <c r="F164" s="111"/>
      <c r="G164" s="110"/>
    </row>
    <row r="165" ht="15.0" customHeight="1">
      <c r="B165" s="112"/>
      <c r="C165" s="106"/>
      <c r="D165" s="109"/>
      <c r="E165" s="110"/>
      <c r="F165" s="111"/>
      <c r="G165" s="110"/>
    </row>
    <row r="166" ht="15.0" customHeight="1">
      <c r="B166" s="112"/>
      <c r="C166" s="106"/>
      <c r="D166" s="109"/>
      <c r="E166" s="110"/>
      <c r="F166" s="111"/>
      <c r="G166" s="110"/>
    </row>
    <row r="167" ht="15.0" customHeight="1">
      <c r="B167" s="112"/>
      <c r="C167" s="106"/>
      <c r="D167" s="109"/>
      <c r="E167" s="110"/>
      <c r="F167" s="111"/>
      <c r="G167" s="110"/>
    </row>
    <row r="168" ht="15.0" customHeight="1">
      <c r="B168" s="112"/>
      <c r="C168" s="106"/>
      <c r="D168" s="109"/>
      <c r="E168" s="110"/>
      <c r="F168" s="111"/>
      <c r="G168" s="110"/>
    </row>
    <row r="169" ht="15.0" customHeight="1">
      <c r="B169" s="112"/>
      <c r="C169" s="106"/>
      <c r="D169" s="109"/>
      <c r="E169" s="110"/>
      <c r="F169" s="111"/>
      <c r="G169" s="110"/>
    </row>
    <row r="170" ht="15.0" customHeight="1">
      <c r="B170" s="112"/>
      <c r="C170" s="106"/>
      <c r="D170" s="109"/>
      <c r="E170" s="110"/>
      <c r="F170" s="111"/>
      <c r="G170" s="110"/>
    </row>
    <row r="171" ht="15.0" customHeight="1">
      <c r="B171" s="112"/>
      <c r="C171" s="106"/>
      <c r="D171" s="109"/>
      <c r="E171" s="110"/>
      <c r="F171" s="111"/>
      <c r="G171" s="110"/>
    </row>
    <row r="172" ht="15.0" customHeight="1">
      <c r="B172" s="112"/>
      <c r="C172" s="106"/>
      <c r="D172" s="109"/>
      <c r="E172" s="110"/>
      <c r="F172" s="111"/>
      <c r="G172" s="110"/>
    </row>
    <row r="173" ht="15.0" customHeight="1">
      <c r="B173" s="112"/>
      <c r="C173" s="106"/>
      <c r="D173" s="109"/>
      <c r="E173" s="110"/>
      <c r="F173" s="111"/>
      <c r="G173" s="110"/>
    </row>
    <row r="174" ht="15.0" customHeight="1">
      <c r="B174" s="112"/>
      <c r="C174" s="106"/>
      <c r="D174" s="109"/>
      <c r="E174" s="110"/>
      <c r="F174" s="111"/>
      <c r="G174" s="110"/>
    </row>
    <row r="175" ht="15.0" customHeight="1">
      <c r="B175" s="112"/>
      <c r="C175" s="106"/>
      <c r="D175" s="109"/>
      <c r="E175" s="110"/>
      <c r="F175" s="111"/>
      <c r="G175" s="110"/>
    </row>
    <row r="176" ht="15.0" customHeight="1">
      <c r="B176" s="112"/>
      <c r="C176" s="106"/>
      <c r="D176" s="109"/>
      <c r="E176" s="110"/>
      <c r="F176" s="111"/>
      <c r="G176" s="110"/>
    </row>
    <row r="177" ht="15.0" customHeight="1">
      <c r="B177" s="112"/>
      <c r="C177" s="106"/>
      <c r="D177" s="109"/>
      <c r="E177" s="110"/>
      <c r="F177" s="111"/>
      <c r="G177" s="110"/>
    </row>
    <row r="178" ht="15.0" customHeight="1">
      <c r="B178" s="112"/>
      <c r="C178" s="106"/>
      <c r="D178" s="109"/>
      <c r="E178" s="110"/>
      <c r="F178" s="111"/>
      <c r="G178" s="110"/>
    </row>
    <row r="179" ht="15.0" customHeight="1">
      <c r="B179" s="112"/>
      <c r="C179" s="106"/>
      <c r="D179" s="109"/>
      <c r="E179" s="110"/>
      <c r="F179" s="111"/>
      <c r="G179" s="110"/>
    </row>
    <row r="180" ht="15.0" customHeight="1">
      <c r="B180" s="112"/>
      <c r="C180" s="106"/>
      <c r="D180" s="109"/>
      <c r="E180" s="110"/>
      <c r="F180" s="111"/>
      <c r="G180" s="110"/>
    </row>
    <row r="181" ht="15.0" customHeight="1">
      <c r="B181" s="112"/>
      <c r="C181" s="106"/>
      <c r="D181" s="109"/>
      <c r="E181" s="110"/>
      <c r="F181" s="111"/>
      <c r="G181" s="110"/>
    </row>
    <row r="182" ht="15.0" customHeight="1">
      <c r="B182" s="112"/>
      <c r="C182" s="106"/>
      <c r="D182" s="109"/>
      <c r="E182" s="110"/>
      <c r="F182" s="111"/>
      <c r="G182" s="110"/>
    </row>
    <row r="183" ht="15.0" customHeight="1">
      <c r="B183" s="112"/>
      <c r="C183" s="106"/>
      <c r="D183" s="109"/>
      <c r="E183" s="110"/>
      <c r="F183" s="111"/>
      <c r="G183" s="110"/>
    </row>
    <row r="184" ht="15.0" customHeight="1">
      <c r="B184" s="112"/>
      <c r="C184" s="106"/>
      <c r="D184" s="109"/>
      <c r="E184" s="110"/>
      <c r="F184" s="111"/>
      <c r="G184" s="110"/>
    </row>
    <row r="185" ht="15.0" customHeight="1">
      <c r="B185" s="112"/>
      <c r="C185" s="106"/>
      <c r="D185" s="109"/>
      <c r="E185" s="110"/>
      <c r="F185" s="111"/>
      <c r="G185" s="110"/>
    </row>
    <row r="186" ht="15.0" customHeight="1">
      <c r="B186" s="112"/>
      <c r="C186" s="106"/>
      <c r="D186" s="109"/>
      <c r="E186" s="110"/>
      <c r="F186" s="111"/>
      <c r="G186" s="110"/>
    </row>
    <row r="187" ht="15.0" customHeight="1">
      <c r="B187" s="112"/>
      <c r="C187" s="106"/>
      <c r="D187" s="109"/>
      <c r="E187" s="110"/>
      <c r="F187" s="111"/>
      <c r="G187" s="110"/>
    </row>
    <row r="188" ht="15.0" customHeight="1">
      <c r="B188" s="112"/>
      <c r="C188" s="106"/>
      <c r="D188" s="109"/>
      <c r="E188" s="110"/>
      <c r="F188" s="111"/>
      <c r="G188" s="110"/>
    </row>
    <row r="189" ht="15.0" customHeight="1">
      <c r="B189" s="112"/>
      <c r="C189" s="106"/>
      <c r="D189" s="109"/>
      <c r="E189" s="110"/>
      <c r="F189" s="111"/>
      <c r="G189" s="110"/>
    </row>
    <row r="190" ht="15.0" customHeight="1">
      <c r="B190" s="112"/>
      <c r="C190" s="106"/>
      <c r="D190" s="109"/>
      <c r="E190" s="110"/>
      <c r="F190" s="111"/>
      <c r="G190" s="110"/>
    </row>
    <row r="191" ht="15.0" customHeight="1">
      <c r="B191" s="112"/>
      <c r="C191" s="106"/>
      <c r="D191" s="109"/>
      <c r="E191" s="110"/>
      <c r="F191" s="111"/>
      <c r="G191" s="110"/>
    </row>
    <row r="192" ht="15.0" customHeight="1">
      <c r="B192" s="112"/>
      <c r="C192" s="106"/>
      <c r="D192" s="109"/>
      <c r="E192" s="110"/>
      <c r="F192" s="111"/>
      <c r="G192" s="110"/>
    </row>
    <row r="193" ht="15.0" customHeight="1">
      <c r="B193" s="112"/>
      <c r="C193" s="106"/>
      <c r="D193" s="109"/>
      <c r="E193" s="110"/>
      <c r="F193" s="111"/>
      <c r="G193" s="110"/>
    </row>
    <row r="194" ht="15.0" customHeight="1">
      <c r="B194" s="112"/>
      <c r="C194" s="106"/>
      <c r="D194" s="109"/>
      <c r="E194" s="110"/>
      <c r="F194" s="111"/>
      <c r="G194" s="110"/>
    </row>
    <row r="195" ht="15.0" customHeight="1">
      <c r="B195" s="112"/>
      <c r="C195" s="106"/>
      <c r="D195" s="109"/>
      <c r="E195" s="110"/>
      <c r="F195" s="111"/>
      <c r="G195" s="110"/>
    </row>
    <row r="196" ht="15.0" customHeight="1">
      <c r="B196" s="112"/>
      <c r="C196" s="106"/>
      <c r="D196" s="109"/>
      <c r="E196" s="110"/>
      <c r="F196" s="111"/>
      <c r="G196" s="110"/>
    </row>
    <row r="197" ht="15.0" customHeight="1">
      <c r="B197" s="112"/>
      <c r="C197" s="106"/>
      <c r="D197" s="109"/>
      <c r="E197" s="110"/>
      <c r="F197" s="111"/>
      <c r="G197" s="110"/>
    </row>
    <row r="198" ht="15.0" customHeight="1">
      <c r="B198" s="112"/>
      <c r="C198" s="106"/>
      <c r="D198" s="109"/>
      <c r="E198" s="110"/>
      <c r="F198" s="111"/>
      <c r="G198" s="110"/>
    </row>
    <row r="199" ht="15.0" customHeight="1">
      <c r="B199" s="112"/>
      <c r="C199" s="106"/>
      <c r="D199" s="109"/>
      <c r="E199" s="110"/>
      <c r="F199" s="111"/>
      <c r="G199" s="110"/>
    </row>
    <row r="200" ht="15.0" customHeight="1">
      <c r="B200" s="112"/>
      <c r="C200" s="106"/>
      <c r="D200" s="109"/>
      <c r="E200" s="110"/>
      <c r="F200" s="111"/>
      <c r="G200" s="110"/>
    </row>
    <row r="201" ht="15.0" customHeight="1">
      <c r="B201" s="112"/>
      <c r="C201" s="106"/>
      <c r="D201" s="109"/>
      <c r="E201" s="110"/>
      <c r="F201" s="111"/>
      <c r="G201" s="110"/>
    </row>
    <row r="202" ht="15.0" customHeight="1">
      <c r="B202" s="112"/>
      <c r="C202" s="106"/>
      <c r="D202" s="109"/>
      <c r="E202" s="110"/>
      <c r="F202" s="111"/>
      <c r="G202" s="110"/>
    </row>
    <row r="203" ht="15.0" customHeight="1">
      <c r="B203" s="112"/>
      <c r="C203" s="106"/>
      <c r="D203" s="109"/>
      <c r="E203" s="110"/>
      <c r="F203" s="111"/>
      <c r="G203" s="110"/>
    </row>
    <row r="204" ht="15.0" customHeight="1">
      <c r="B204" s="112"/>
      <c r="C204" s="106"/>
      <c r="D204" s="109"/>
      <c r="E204" s="110"/>
      <c r="F204" s="111"/>
      <c r="G204" s="110"/>
    </row>
    <row r="205" ht="15.0" customHeight="1">
      <c r="B205" s="112"/>
      <c r="C205" s="106"/>
      <c r="D205" s="109"/>
      <c r="E205" s="110"/>
      <c r="F205" s="111"/>
      <c r="G205" s="110"/>
    </row>
    <row r="206" ht="15.0" customHeight="1">
      <c r="B206" s="112"/>
      <c r="C206" s="106"/>
      <c r="D206" s="109"/>
      <c r="E206" s="110"/>
      <c r="F206" s="111"/>
      <c r="G206" s="110"/>
    </row>
    <row r="207" ht="15.0" customHeight="1">
      <c r="B207" s="112"/>
      <c r="C207" s="106"/>
      <c r="D207" s="109"/>
      <c r="E207" s="110"/>
      <c r="F207" s="111"/>
      <c r="G207" s="110"/>
    </row>
    <row r="208" ht="15.0" customHeight="1">
      <c r="B208" s="112"/>
      <c r="C208" s="106"/>
      <c r="D208" s="109"/>
      <c r="E208" s="110"/>
      <c r="F208" s="111"/>
      <c r="G208" s="110"/>
    </row>
    <row r="209" ht="15.0" customHeight="1">
      <c r="B209" s="112"/>
      <c r="C209" s="106"/>
      <c r="D209" s="109"/>
      <c r="E209" s="110"/>
      <c r="F209" s="111"/>
      <c r="G209" s="110"/>
    </row>
    <row r="210" ht="15.0" customHeight="1">
      <c r="B210" s="112"/>
      <c r="C210" s="106"/>
      <c r="D210" s="109"/>
      <c r="E210" s="110"/>
      <c r="F210" s="111"/>
      <c r="G210" s="110"/>
    </row>
    <row r="211" ht="15.0" customHeight="1">
      <c r="B211" s="112"/>
      <c r="C211" s="106"/>
      <c r="D211" s="109"/>
      <c r="E211" s="110"/>
      <c r="F211" s="111"/>
      <c r="G211" s="110"/>
    </row>
    <row r="212" ht="15.0" customHeight="1">
      <c r="B212" s="112"/>
      <c r="C212" s="106"/>
      <c r="D212" s="109"/>
      <c r="E212" s="110"/>
      <c r="F212" s="111"/>
      <c r="G212" s="110"/>
    </row>
    <row r="213" ht="15.0" customHeight="1">
      <c r="B213" s="112"/>
      <c r="C213" s="106"/>
      <c r="D213" s="109"/>
      <c r="E213" s="110"/>
      <c r="F213" s="111"/>
      <c r="G213" s="110"/>
    </row>
    <row r="214" ht="15.0" customHeight="1">
      <c r="B214" s="112"/>
      <c r="C214" s="106"/>
      <c r="D214" s="109"/>
      <c r="E214" s="110"/>
      <c r="F214" s="111"/>
      <c r="G214" s="110"/>
    </row>
    <row r="215" ht="15.0" customHeight="1">
      <c r="B215" s="112"/>
      <c r="C215" s="106"/>
      <c r="D215" s="109"/>
      <c r="E215" s="110"/>
      <c r="F215" s="111"/>
      <c r="G215" s="110"/>
    </row>
    <row r="216" ht="15.0" customHeight="1">
      <c r="B216" s="112"/>
      <c r="C216" s="106"/>
      <c r="D216" s="109"/>
      <c r="E216" s="110"/>
      <c r="F216" s="111"/>
      <c r="G216" s="110"/>
    </row>
    <row r="217" ht="15.0" customHeight="1">
      <c r="B217" s="112"/>
      <c r="C217" s="106"/>
      <c r="D217" s="109"/>
      <c r="E217" s="110"/>
      <c r="F217" s="111"/>
      <c r="G217" s="110"/>
    </row>
    <row r="218" ht="15.0" customHeight="1">
      <c r="B218" s="112"/>
      <c r="C218" s="106"/>
      <c r="D218" s="109"/>
      <c r="E218" s="110"/>
      <c r="F218" s="111"/>
      <c r="G218" s="110"/>
    </row>
    <row r="219" ht="15.0" customHeight="1">
      <c r="B219" s="112"/>
      <c r="C219" s="106"/>
      <c r="D219" s="109"/>
      <c r="E219" s="110"/>
      <c r="F219" s="111"/>
      <c r="G219" s="110"/>
    </row>
    <row r="220" ht="15.0" customHeight="1">
      <c r="B220" s="112"/>
      <c r="C220" s="106"/>
      <c r="D220" s="109"/>
      <c r="E220" s="110"/>
      <c r="F220" s="111"/>
      <c r="G220" s="110"/>
    </row>
    <row r="221" ht="14.25" customHeight="1">
      <c r="B221" s="112"/>
      <c r="C221" s="106"/>
      <c r="D221" s="109"/>
      <c r="E221" s="110"/>
      <c r="F221" s="111"/>
      <c r="G221" s="110"/>
    </row>
    <row r="222" ht="14.25" customHeight="1">
      <c r="B222" s="112"/>
      <c r="C222" s="106"/>
      <c r="D222" s="109"/>
      <c r="E222" s="110"/>
      <c r="F222" s="111"/>
      <c r="G222" s="110"/>
    </row>
    <row r="223" ht="14.25" customHeight="1">
      <c r="B223" s="112"/>
      <c r="C223" s="106"/>
      <c r="D223" s="109"/>
      <c r="E223" s="110"/>
      <c r="F223" s="111"/>
      <c r="G223" s="110"/>
    </row>
    <row r="224" ht="14.25" customHeight="1">
      <c r="B224" s="112"/>
      <c r="C224" s="106"/>
      <c r="D224" s="109"/>
      <c r="E224" s="110"/>
      <c r="F224" s="111"/>
      <c r="G224" s="110"/>
    </row>
    <row r="225" ht="14.25" customHeight="1">
      <c r="B225" s="112"/>
      <c r="C225" s="106"/>
      <c r="D225" s="109"/>
      <c r="E225" s="110"/>
      <c r="F225" s="111"/>
      <c r="G225" s="110"/>
    </row>
    <row r="226" ht="14.25" customHeight="1">
      <c r="B226" s="112"/>
      <c r="C226" s="106"/>
      <c r="D226" s="109"/>
      <c r="E226" s="110"/>
      <c r="F226" s="111"/>
      <c r="G226" s="110"/>
    </row>
    <row r="227" ht="14.25" customHeight="1">
      <c r="B227" s="112"/>
      <c r="C227" s="106"/>
      <c r="D227" s="109"/>
      <c r="E227" s="110"/>
      <c r="F227" s="111"/>
      <c r="G227" s="110"/>
    </row>
    <row r="228" ht="14.25" customHeight="1">
      <c r="B228" s="112"/>
      <c r="C228" s="106"/>
      <c r="D228" s="109"/>
      <c r="E228" s="110"/>
      <c r="F228" s="111"/>
      <c r="G228" s="110"/>
    </row>
    <row r="229" ht="14.25" customHeight="1">
      <c r="B229" s="112"/>
      <c r="C229" s="106"/>
      <c r="D229" s="109"/>
      <c r="E229" s="110"/>
      <c r="F229" s="111"/>
      <c r="G229" s="110"/>
    </row>
    <row r="230" ht="14.25" customHeight="1">
      <c r="B230" s="112"/>
      <c r="C230" s="106"/>
      <c r="D230" s="109"/>
      <c r="E230" s="110"/>
      <c r="F230" s="111"/>
      <c r="G230" s="110"/>
    </row>
    <row r="231" ht="14.25" customHeight="1">
      <c r="B231" s="112"/>
      <c r="C231" s="106"/>
      <c r="D231" s="109"/>
      <c r="E231" s="110"/>
      <c r="F231" s="111"/>
      <c r="G231" s="110"/>
    </row>
    <row r="232" ht="14.25" customHeight="1">
      <c r="B232" s="112"/>
      <c r="C232" s="106"/>
      <c r="D232" s="109"/>
      <c r="E232" s="110"/>
      <c r="F232" s="111"/>
      <c r="G232" s="110"/>
    </row>
    <row r="233" ht="14.25" customHeight="1">
      <c r="B233" s="112"/>
      <c r="C233" s="106"/>
      <c r="D233" s="109"/>
      <c r="E233" s="110"/>
      <c r="F233" s="111"/>
      <c r="G233" s="110"/>
    </row>
    <row r="234" ht="14.25" customHeight="1">
      <c r="B234" s="112"/>
      <c r="C234" s="106"/>
      <c r="D234" s="109"/>
      <c r="E234" s="110"/>
      <c r="F234" s="111"/>
      <c r="G234" s="110"/>
    </row>
    <row r="235" ht="14.25" customHeight="1">
      <c r="B235" s="112"/>
      <c r="C235" s="106"/>
      <c r="D235" s="109"/>
      <c r="E235" s="110"/>
      <c r="F235" s="111"/>
      <c r="G235" s="110"/>
    </row>
    <row r="236" ht="14.25" customHeight="1">
      <c r="B236" s="112"/>
      <c r="C236" s="106"/>
      <c r="D236" s="109"/>
      <c r="E236" s="110"/>
      <c r="F236" s="111"/>
      <c r="G236" s="110"/>
    </row>
    <row r="237" ht="14.25" customHeight="1">
      <c r="B237" s="112"/>
      <c r="C237" s="106"/>
      <c r="D237" s="109"/>
      <c r="E237" s="110"/>
      <c r="F237" s="111"/>
      <c r="G237" s="110"/>
    </row>
    <row r="238" ht="14.25" customHeight="1">
      <c r="B238" s="112"/>
      <c r="C238" s="106"/>
      <c r="D238" s="109"/>
      <c r="E238" s="110"/>
      <c r="F238" s="111"/>
      <c r="G238" s="110"/>
    </row>
    <row r="239" ht="14.25" customHeight="1">
      <c r="B239" s="112"/>
      <c r="C239" s="106"/>
      <c r="D239" s="109"/>
      <c r="E239" s="110"/>
      <c r="F239" s="111"/>
      <c r="G239" s="110"/>
    </row>
    <row r="240" ht="14.25" customHeight="1">
      <c r="B240" s="112"/>
      <c r="C240" s="106"/>
      <c r="D240" s="109"/>
      <c r="E240" s="110"/>
      <c r="F240" s="111"/>
      <c r="G240" s="110"/>
    </row>
    <row r="241" ht="14.25" customHeight="1">
      <c r="B241" s="112"/>
      <c r="C241" s="106"/>
      <c r="D241" s="109"/>
      <c r="E241" s="110"/>
      <c r="F241" s="111"/>
      <c r="G241" s="110"/>
    </row>
    <row r="242" ht="14.25" customHeight="1">
      <c r="B242" s="112"/>
      <c r="C242" s="106"/>
      <c r="D242" s="109"/>
      <c r="E242" s="110"/>
      <c r="F242" s="111"/>
      <c r="G242" s="110"/>
    </row>
    <row r="243" ht="14.25" customHeight="1">
      <c r="B243" s="112"/>
      <c r="C243" s="106"/>
      <c r="D243" s="109"/>
      <c r="E243" s="110"/>
      <c r="F243" s="111"/>
      <c r="G243" s="110"/>
    </row>
    <row r="244" ht="14.25" customHeight="1">
      <c r="B244" s="112"/>
      <c r="C244" s="106"/>
      <c r="D244" s="109"/>
      <c r="E244" s="110"/>
      <c r="F244" s="111"/>
      <c r="G244" s="110"/>
    </row>
    <row r="245" ht="14.25" customHeight="1">
      <c r="B245" s="112"/>
      <c r="C245" s="106"/>
      <c r="D245" s="109"/>
      <c r="E245" s="110"/>
      <c r="F245" s="111"/>
      <c r="G245" s="110"/>
    </row>
    <row r="246" ht="14.25" customHeight="1">
      <c r="B246" s="112"/>
      <c r="C246" s="106"/>
      <c r="D246" s="109"/>
      <c r="E246" s="110"/>
      <c r="F246" s="111"/>
      <c r="G246" s="110"/>
    </row>
    <row r="247" ht="14.25" customHeight="1">
      <c r="B247" s="112"/>
      <c r="C247" s="106"/>
      <c r="D247" s="109"/>
      <c r="E247" s="110"/>
      <c r="F247" s="111"/>
      <c r="G247" s="110"/>
    </row>
    <row r="248" ht="14.25" customHeight="1">
      <c r="B248" s="112"/>
      <c r="C248" s="106"/>
      <c r="D248" s="109"/>
      <c r="E248" s="110"/>
      <c r="F248" s="111"/>
      <c r="G248" s="110"/>
    </row>
    <row r="249" ht="14.25" customHeight="1">
      <c r="B249" s="112"/>
      <c r="C249" s="106"/>
      <c r="D249" s="109"/>
      <c r="E249" s="110"/>
      <c r="F249" s="111"/>
      <c r="G249" s="110"/>
    </row>
    <row r="250" ht="14.25" customHeight="1">
      <c r="B250" s="112"/>
      <c r="C250" s="106"/>
      <c r="D250" s="109"/>
      <c r="E250" s="110"/>
      <c r="F250" s="111"/>
      <c r="G250" s="110"/>
    </row>
    <row r="251" ht="14.25" customHeight="1">
      <c r="B251" s="112"/>
      <c r="C251" s="106"/>
      <c r="D251" s="109"/>
      <c r="E251" s="110"/>
      <c r="F251" s="111"/>
      <c r="G251" s="110"/>
    </row>
    <row r="252" ht="14.25" customHeight="1">
      <c r="B252" s="112"/>
      <c r="C252" s="106"/>
      <c r="D252" s="109"/>
      <c r="E252" s="110"/>
      <c r="F252" s="111"/>
      <c r="G252" s="110"/>
    </row>
    <row r="253" ht="14.25" customHeight="1">
      <c r="B253" s="112"/>
      <c r="C253" s="106"/>
      <c r="D253" s="109"/>
      <c r="E253" s="110"/>
      <c r="F253" s="111"/>
      <c r="G253" s="110"/>
    </row>
    <row r="254" ht="14.25" customHeight="1">
      <c r="B254" s="112"/>
      <c r="C254" s="106"/>
      <c r="D254" s="109"/>
      <c r="E254" s="110"/>
      <c r="F254" s="111"/>
      <c r="G254" s="110"/>
    </row>
    <row r="255" ht="14.25" customHeight="1">
      <c r="B255" s="112"/>
      <c r="C255" s="106"/>
      <c r="D255" s="109"/>
      <c r="E255" s="110"/>
      <c r="F255" s="111"/>
      <c r="G255" s="110"/>
    </row>
    <row r="256" ht="14.25" customHeight="1">
      <c r="B256" s="112"/>
      <c r="C256" s="106"/>
      <c r="D256" s="109"/>
      <c r="E256" s="110"/>
      <c r="F256" s="111"/>
      <c r="G256" s="110"/>
    </row>
    <row r="257" ht="14.25" customHeight="1">
      <c r="B257" s="112"/>
      <c r="C257" s="106"/>
      <c r="D257" s="109"/>
      <c r="E257" s="110"/>
      <c r="F257" s="111"/>
      <c r="G257" s="110"/>
    </row>
    <row r="258" ht="14.25" customHeight="1">
      <c r="B258" s="112"/>
      <c r="C258" s="106"/>
      <c r="D258" s="109"/>
      <c r="E258" s="110"/>
      <c r="F258" s="111"/>
      <c r="G258" s="110"/>
    </row>
    <row r="259" ht="14.25" customHeight="1">
      <c r="B259" s="112"/>
      <c r="C259" s="106"/>
      <c r="D259" s="109"/>
      <c r="E259" s="110"/>
      <c r="F259" s="111"/>
      <c r="G259" s="110"/>
    </row>
    <row r="260" ht="14.25" customHeight="1">
      <c r="B260" s="112"/>
      <c r="C260" s="106"/>
      <c r="D260" s="109"/>
      <c r="E260" s="110"/>
      <c r="F260" s="111"/>
      <c r="G260" s="110"/>
    </row>
    <row r="261" ht="14.25" customHeight="1">
      <c r="B261" s="112"/>
      <c r="C261" s="106"/>
      <c r="D261" s="109"/>
      <c r="E261" s="110"/>
      <c r="F261" s="111"/>
      <c r="G261" s="110"/>
    </row>
    <row r="262" ht="14.25" customHeight="1">
      <c r="B262" s="112"/>
      <c r="C262" s="106"/>
      <c r="D262" s="109"/>
      <c r="E262" s="110"/>
      <c r="F262" s="111"/>
      <c r="G262" s="110"/>
    </row>
    <row r="263" ht="14.25" customHeight="1">
      <c r="B263" s="112"/>
      <c r="C263" s="106"/>
      <c r="D263" s="109"/>
      <c r="E263" s="110"/>
      <c r="F263" s="111"/>
      <c r="G263" s="110"/>
    </row>
    <row r="264" ht="14.25" customHeight="1">
      <c r="B264" s="112"/>
      <c r="C264" s="106"/>
      <c r="D264" s="109"/>
      <c r="E264" s="110"/>
      <c r="F264" s="111"/>
      <c r="G264" s="110"/>
    </row>
    <row r="265" ht="14.25" customHeight="1">
      <c r="B265" s="112"/>
      <c r="C265" s="106"/>
      <c r="D265" s="109"/>
      <c r="E265" s="110"/>
      <c r="F265" s="111"/>
      <c r="G265" s="110"/>
    </row>
    <row r="266" ht="14.25" customHeight="1">
      <c r="B266" s="112"/>
      <c r="C266" s="106"/>
      <c r="D266" s="109"/>
      <c r="E266" s="110"/>
      <c r="F266" s="111"/>
      <c r="G266" s="110"/>
    </row>
    <row r="267" ht="14.25" customHeight="1">
      <c r="B267" s="112"/>
      <c r="C267" s="106"/>
      <c r="D267" s="109"/>
      <c r="E267" s="110"/>
      <c r="F267" s="111"/>
      <c r="G267" s="110"/>
    </row>
    <row r="268" ht="14.25" customHeight="1">
      <c r="B268" s="112"/>
      <c r="C268" s="106"/>
      <c r="D268" s="109"/>
      <c r="E268" s="110"/>
      <c r="F268" s="111"/>
      <c r="G268" s="110"/>
    </row>
    <row r="269" ht="14.25" customHeight="1">
      <c r="B269" s="112"/>
      <c r="C269" s="106"/>
      <c r="D269" s="109"/>
      <c r="E269" s="110"/>
      <c r="F269" s="111"/>
      <c r="G269" s="110"/>
    </row>
    <row r="270" ht="14.25" customHeight="1">
      <c r="B270" s="112"/>
      <c r="C270" s="106"/>
      <c r="D270" s="109"/>
      <c r="E270" s="110"/>
      <c r="F270" s="111"/>
      <c r="G270" s="110"/>
    </row>
    <row r="271" ht="14.25" customHeight="1">
      <c r="B271" s="112"/>
      <c r="C271" s="106"/>
      <c r="D271" s="109"/>
      <c r="E271" s="110"/>
      <c r="F271" s="111"/>
      <c r="G271" s="110"/>
    </row>
    <row r="272" ht="14.25" customHeight="1">
      <c r="B272" s="112"/>
      <c r="C272" s="106"/>
      <c r="D272" s="109"/>
      <c r="E272" s="110"/>
      <c r="F272" s="111"/>
      <c r="G272" s="110"/>
    </row>
    <row r="273" ht="14.25" customHeight="1">
      <c r="B273" s="112"/>
      <c r="C273" s="106"/>
      <c r="D273" s="109"/>
      <c r="E273" s="110"/>
      <c r="F273" s="111"/>
      <c r="G273" s="110"/>
    </row>
    <row r="274" ht="14.25" customHeight="1">
      <c r="B274" s="112"/>
      <c r="C274" s="106"/>
      <c r="D274" s="109"/>
      <c r="E274" s="110"/>
      <c r="F274" s="111"/>
      <c r="G274" s="110"/>
    </row>
    <row r="275" ht="14.25" customHeight="1">
      <c r="B275" s="112"/>
      <c r="C275" s="106"/>
      <c r="D275" s="109"/>
      <c r="E275" s="110"/>
      <c r="F275" s="111"/>
      <c r="G275" s="110"/>
    </row>
    <row r="276" ht="14.25" customHeight="1">
      <c r="B276" s="112"/>
      <c r="C276" s="106"/>
      <c r="D276" s="109"/>
      <c r="E276" s="110"/>
      <c r="F276" s="111"/>
      <c r="G276" s="110"/>
    </row>
    <row r="277" ht="14.25" customHeight="1">
      <c r="B277" s="112"/>
      <c r="C277" s="106"/>
      <c r="D277" s="109"/>
      <c r="E277" s="110"/>
      <c r="F277" s="111"/>
      <c r="G277" s="110"/>
    </row>
    <row r="278" ht="14.25" customHeight="1">
      <c r="B278" s="112"/>
      <c r="C278" s="106"/>
      <c r="D278" s="109"/>
      <c r="E278" s="110"/>
      <c r="F278" s="111"/>
      <c r="G278" s="110"/>
    </row>
    <row r="279" ht="14.25" customHeight="1">
      <c r="B279" s="112"/>
      <c r="C279" s="106"/>
      <c r="D279" s="109"/>
      <c r="E279" s="110"/>
      <c r="F279" s="111"/>
      <c r="G279" s="110"/>
    </row>
    <row r="280" ht="14.25" customHeight="1">
      <c r="B280" s="112"/>
      <c r="C280" s="106"/>
      <c r="D280" s="109"/>
      <c r="E280" s="110"/>
      <c r="F280" s="111"/>
      <c r="G280" s="110"/>
    </row>
    <row r="281" ht="14.25" customHeight="1">
      <c r="B281" s="112"/>
      <c r="C281" s="106"/>
      <c r="D281" s="109"/>
      <c r="E281" s="110"/>
      <c r="F281" s="111"/>
      <c r="G281" s="110"/>
    </row>
    <row r="282" ht="14.25" customHeight="1">
      <c r="B282" s="112"/>
      <c r="C282" s="106"/>
      <c r="D282" s="109"/>
      <c r="E282" s="110"/>
      <c r="F282" s="111"/>
      <c r="G282" s="110"/>
    </row>
    <row r="283" ht="14.25" customHeight="1">
      <c r="B283" s="112"/>
      <c r="C283" s="106"/>
      <c r="D283" s="109"/>
      <c r="E283" s="110"/>
      <c r="F283" s="111"/>
      <c r="G283" s="110"/>
    </row>
    <row r="284" ht="14.25" customHeight="1">
      <c r="B284" s="112"/>
      <c r="C284" s="106"/>
      <c r="D284" s="109"/>
      <c r="E284" s="110"/>
      <c r="F284" s="111"/>
      <c r="G284" s="110"/>
    </row>
    <row r="285" ht="14.25" customHeight="1">
      <c r="B285" s="112"/>
      <c r="C285" s="106"/>
      <c r="D285" s="109"/>
      <c r="E285" s="110"/>
      <c r="F285" s="111"/>
      <c r="G285" s="110"/>
    </row>
    <row r="286" ht="14.25" customHeight="1">
      <c r="B286" s="112"/>
      <c r="C286" s="106"/>
      <c r="D286" s="109"/>
      <c r="E286" s="110"/>
      <c r="F286" s="111"/>
      <c r="G286" s="110"/>
    </row>
    <row r="287" ht="14.25" customHeight="1">
      <c r="B287" s="112"/>
      <c r="C287" s="106"/>
      <c r="D287" s="109"/>
      <c r="E287" s="110"/>
      <c r="F287" s="111"/>
      <c r="G287" s="110"/>
    </row>
    <row r="288" ht="14.25" customHeight="1">
      <c r="B288" s="112"/>
      <c r="C288" s="106"/>
      <c r="D288" s="109"/>
      <c r="E288" s="110"/>
      <c r="F288" s="111"/>
      <c r="G288" s="110"/>
    </row>
    <row r="289" ht="14.25" customHeight="1">
      <c r="B289" s="112"/>
      <c r="C289" s="106"/>
      <c r="D289" s="109"/>
      <c r="E289" s="110"/>
      <c r="F289" s="111"/>
      <c r="G289" s="110"/>
    </row>
    <row r="290" ht="14.25" customHeight="1">
      <c r="B290" s="112"/>
      <c r="C290" s="106"/>
      <c r="D290" s="109"/>
      <c r="E290" s="110"/>
      <c r="F290" s="111"/>
      <c r="G290" s="110"/>
    </row>
    <row r="291" ht="14.25" customHeight="1">
      <c r="B291" s="112"/>
      <c r="C291" s="106"/>
      <c r="D291" s="109"/>
      <c r="E291" s="110"/>
      <c r="F291" s="111"/>
      <c r="G291" s="110"/>
    </row>
    <row r="292" ht="14.25" customHeight="1">
      <c r="B292" s="112"/>
      <c r="C292" s="106"/>
      <c r="D292" s="109"/>
      <c r="E292" s="110"/>
      <c r="F292" s="111"/>
      <c r="G292" s="110"/>
    </row>
    <row r="293" ht="14.25" customHeight="1">
      <c r="B293" s="112"/>
      <c r="C293" s="106"/>
      <c r="D293" s="109"/>
      <c r="E293" s="110"/>
      <c r="F293" s="111"/>
      <c r="G293" s="110"/>
    </row>
    <row r="294" ht="14.25" customHeight="1">
      <c r="B294" s="112"/>
      <c r="C294" s="106"/>
      <c r="D294" s="109"/>
      <c r="E294" s="110"/>
      <c r="F294" s="111"/>
      <c r="G294" s="110"/>
    </row>
    <row r="295" ht="14.25" customHeight="1">
      <c r="B295" s="112"/>
      <c r="C295" s="106"/>
      <c r="D295" s="109"/>
      <c r="E295" s="110"/>
      <c r="F295" s="111"/>
      <c r="G295" s="110"/>
    </row>
    <row r="296" ht="14.25" customHeight="1">
      <c r="B296" s="112"/>
      <c r="C296" s="106"/>
      <c r="D296" s="109"/>
      <c r="E296" s="110"/>
      <c r="F296" s="111"/>
      <c r="G296" s="110"/>
    </row>
    <row r="297" ht="14.25" customHeight="1">
      <c r="B297" s="112"/>
      <c r="C297" s="106"/>
      <c r="D297" s="109"/>
      <c r="E297" s="110"/>
      <c r="F297" s="111"/>
      <c r="G297" s="110"/>
    </row>
    <row r="298" ht="14.25" customHeight="1">
      <c r="B298" s="112"/>
      <c r="C298" s="106"/>
      <c r="D298" s="109"/>
      <c r="E298" s="110"/>
      <c r="F298" s="111"/>
      <c r="G298" s="110"/>
    </row>
    <row r="299" ht="14.25" customHeight="1">
      <c r="B299" s="112"/>
      <c r="C299" s="106"/>
      <c r="D299" s="109"/>
      <c r="E299" s="110"/>
      <c r="F299" s="111"/>
      <c r="G299" s="110"/>
    </row>
    <row r="300" ht="14.25" customHeight="1">
      <c r="B300" s="112"/>
      <c r="C300" s="106"/>
      <c r="D300" s="109"/>
      <c r="E300" s="110"/>
      <c r="F300" s="111"/>
      <c r="G300" s="110"/>
    </row>
    <row r="301" ht="14.25" customHeight="1">
      <c r="B301" s="112"/>
      <c r="C301" s="106"/>
      <c r="D301" s="109"/>
      <c r="E301" s="110"/>
      <c r="F301" s="111"/>
      <c r="G301" s="110"/>
    </row>
    <row r="302" ht="14.25" customHeight="1">
      <c r="B302" s="112"/>
      <c r="C302" s="106"/>
      <c r="D302" s="109"/>
      <c r="E302" s="110"/>
      <c r="F302" s="111"/>
      <c r="G302" s="110"/>
    </row>
    <row r="303" ht="14.25" customHeight="1">
      <c r="B303" s="112"/>
      <c r="C303" s="106"/>
      <c r="D303" s="109"/>
      <c r="E303" s="110"/>
      <c r="F303" s="111"/>
      <c r="G303" s="110"/>
    </row>
    <row r="304" ht="14.25" customHeight="1">
      <c r="B304" s="112"/>
      <c r="C304" s="106"/>
      <c r="D304" s="109"/>
      <c r="E304" s="110"/>
      <c r="F304" s="111"/>
      <c r="G304" s="110"/>
    </row>
    <row r="305" ht="14.25" customHeight="1">
      <c r="B305" s="112"/>
      <c r="C305" s="106"/>
      <c r="D305" s="109"/>
      <c r="E305" s="110"/>
      <c r="F305" s="111"/>
      <c r="G305" s="110"/>
    </row>
    <row r="306" ht="14.25" customHeight="1">
      <c r="B306" s="112"/>
      <c r="C306" s="106"/>
      <c r="D306" s="109"/>
      <c r="E306" s="110"/>
      <c r="F306" s="111"/>
      <c r="G306" s="110"/>
    </row>
    <row r="307" ht="14.25" customHeight="1">
      <c r="B307" s="112"/>
      <c r="C307" s="106"/>
      <c r="D307" s="109"/>
      <c r="E307" s="110"/>
      <c r="F307" s="111"/>
      <c r="G307" s="110"/>
    </row>
    <row r="308" ht="14.25" customHeight="1">
      <c r="B308" s="112"/>
      <c r="C308" s="106"/>
      <c r="D308" s="109"/>
      <c r="E308" s="110"/>
      <c r="F308" s="111"/>
      <c r="G308" s="110"/>
    </row>
    <row r="309" ht="14.25" customHeight="1">
      <c r="B309" s="112"/>
      <c r="C309" s="106"/>
      <c r="D309" s="109"/>
      <c r="E309" s="110"/>
      <c r="F309" s="111"/>
      <c r="G309" s="110"/>
    </row>
    <row r="310" ht="14.25" customHeight="1">
      <c r="B310" s="112"/>
      <c r="C310" s="106"/>
      <c r="D310" s="109"/>
      <c r="E310" s="110"/>
      <c r="F310" s="111"/>
      <c r="G310" s="110"/>
    </row>
    <row r="311" ht="14.25" customHeight="1">
      <c r="B311" s="112"/>
      <c r="C311" s="106"/>
      <c r="D311" s="109"/>
      <c r="E311" s="110"/>
      <c r="F311" s="111"/>
      <c r="G311" s="110"/>
    </row>
    <row r="312" ht="14.25" customHeight="1">
      <c r="B312" s="112"/>
      <c r="C312" s="106"/>
      <c r="D312" s="109"/>
      <c r="E312" s="110"/>
      <c r="F312" s="111"/>
      <c r="G312" s="110"/>
    </row>
    <row r="313" ht="14.25" customHeight="1">
      <c r="B313" s="112"/>
      <c r="C313" s="106"/>
      <c r="D313" s="109"/>
      <c r="E313" s="110"/>
      <c r="F313" s="111"/>
      <c r="G313" s="110"/>
    </row>
    <row r="314" ht="14.25" customHeight="1">
      <c r="B314" s="112"/>
      <c r="C314" s="106"/>
      <c r="D314" s="109"/>
      <c r="E314" s="110"/>
      <c r="F314" s="111"/>
      <c r="G314" s="110"/>
    </row>
    <row r="315" ht="14.25" customHeight="1">
      <c r="B315" s="112"/>
      <c r="C315" s="106"/>
      <c r="D315" s="109"/>
      <c r="E315" s="110"/>
      <c r="F315" s="111"/>
      <c r="G315" s="110"/>
    </row>
    <row r="316" ht="14.25" customHeight="1">
      <c r="B316" s="112"/>
      <c r="C316" s="106"/>
      <c r="D316" s="109"/>
      <c r="E316" s="110"/>
      <c r="F316" s="111"/>
      <c r="G316" s="110"/>
    </row>
    <row r="317" ht="14.25" customHeight="1">
      <c r="B317" s="112"/>
      <c r="C317" s="106"/>
      <c r="D317" s="109"/>
      <c r="E317" s="110"/>
      <c r="F317" s="111"/>
      <c r="G317" s="110"/>
    </row>
    <row r="318" ht="14.25" customHeight="1">
      <c r="B318" s="112"/>
      <c r="C318" s="106"/>
      <c r="D318" s="109"/>
      <c r="E318" s="110"/>
      <c r="F318" s="111"/>
      <c r="G318" s="110"/>
    </row>
    <row r="319" ht="14.25" customHeight="1">
      <c r="B319" s="112"/>
      <c r="C319" s="106"/>
      <c r="D319" s="109"/>
      <c r="E319" s="110"/>
      <c r="F319" s="111"/>
      <c r="G319" s="110"/>
    </row>
    <row r="320" ht="14.25" customHeight="1">
      <c r="B320" s="112"/>
      <c r="C320" s="106"/>
      <c r="D320" s="109"/>
      <c r="E320" s="110"/>
      <c r="F320" s="111"/>
      <c r="G320" s="110"/>
    </row>
    <row r="321" ht="14.25" customHeight="1">
      <c r="B321" s="112"/>
      <c r="C321" s="106"/>
      <c r="D321" s="109"/>
      <c r="E321" s="110"/>
      <c r="F321" s="111"/>
      <c r="G321" s="110"/>
    </row>
    <row r="322" ht="14.25" customHeight="1">
      <c r="B322" s="112"/>
      <c r="C322" s="106"/>
      <c r="D322" s="109"/>
      <c r="E322" s="110"/>
      <c r="F322" s="111"/>
      <c r="G322" s="110"/>
    </row>
    <row r="323" ht="14.25" customHeight="1">
      <c r="B323" s="112"/>
      <c r="C323" s="106"/>
      <c r="D323" s="109"/>
      <c r="E323" s="110"/>
      <c r="F323" s="111"/>
      <c r="G323" s="110"/>
    </row>
    <row r="324" ht="14.25" customHeight="1">
      <c r="B324" s="112"/>
      <c r="C324" s="106"/>
      <c r="D324" s="109"/>
      <c r="E324" s="110"/>
      <c r="F324" s="111"/>
      <c r="G324" s="110"/>
    </row>
    <row r="325" ht="14.25" customHeight="1">
      <c r="B325" s="112"/>
      <c r="C325" s="106"/>
      <c r="D325" s="109"/>
      <c r="E325" s="110"/>
      <c r="F325" s="111"/>
      <c r="G325" s="110"/>
    </row>
    <row r="326" ht="14.25" customHeight="1">
      <c r="B326" s="112"/>
      <c r="C326" s="106"/>
      <c r="D326" s="109"/>
      <c r="E326" s="110"/>
      <c r="F326" s="111"/>
      <c r="G326" s="110"/>
    </row>
    <row r="327" ht="14.25" customHeight="1">
      <c r="B327" s="112"/>
      <c r="C327" s="106"/>
      <c r="D327" s="109"/>
      <c r="E327" s="110"/>
      <c r="F327" s="111"/>
      <c r="G327" s="110"/>
    </row>
    <row r="328" ht="14.25" customHeight="1">
      <c r="B328" s="112"/>
      <c r="C328" s="106"/>
      <c r="D328" s="109"/>
      <c r="E328" s="110"/>
      <c r="F328" s="111"/>
      <c r="G328" s="110"/>
    </row>
    <row r="329" ht="14.25" customHeight="1">
      <c r="B329" s="112"/>
      <c r="C329" s="106"/>
      <c r="D329" s="109"/>
      <c r="E329" s="110"/>
      <c r="F329" s="111"/>
      <c r="G329" s="110"/>
    </row>
    <row r="330" ht="14.25" customHeight="1">
      <c r="B330" s="112"/>
      <c r="C330" s="106"/>
      <c r="D330" s="109"/>
      <c r="E330" s="110"/>
      <c r="F330" s="111"/>
      <c r="G330" s="110"/>
    </row>
    <row r="331" ht="14.25" customHeight="1">
      <c r="B331" s="112"/>
      <c r="C331" s="106"/>
      <c r="D331" s="109"/>
      <c r="E331" s="110"/>
      <c r="F331" s="111"/>
      <c r="G331" s="110"/>
    </row>
    <row r="332" ht="14.25" customHeight="1">
      <c r="B332" s="112"/>
      <c r="C332" s="106"/>
      <c r="D332" s="109"/>
      <c r="E332" s="110"/>
      <c r="F332" s="111"/>
      <c r="G332" s="110"/>
    </row>
    <row r="333" ht="14.25" customHeight="1">
      <c r="B333" s="112"/>
      <c r="C333" s="106"/>
      <c r="D333" s="109"/>
      <c r="E333" s="110"/>
      <c r="F333" s="111"/>
      <c r="G333" s="110"/>
    </row>
    <row r="334" ht="14.25" customHeight="1">
      <c r="B334" s="112"/>
      <c r="C334" s="106"/>
      <c r="D334" s="109"/>
      <c r="E334" s="110"/>
      <c r="F334" s="111"/>
      <c r="G334" s="110"/>
    </row>
    <row r="335" ht="14.25" customHeight="1">
      <c r="B335" s="112"/>
      <c r="C335" s="106"/>
      <c r="D335" s="109"/>
      <c r="E335" s="110"/>
      <c r="F335" s="111"/>
      <c r="G335" s="110"/>
    </row>
    <row r="336" ht="14.25" customHeight="1">
      <c r="B336" s="112"/>
      <c r="C336" s="106"/>
      <c r="D336" s="109"/>
      <c r="E336" s="110"/>
      <c r="F336" s="111"/>
      <c r="G336" s="110"/>
    </row>
    <row r="337" ht="14.25" customHeight="1">
      <c r="B337" s="112"/>
      <c r="C337" s="106"/>
      <c r="D337" s="109"/>
      <c r="E337" s="110"/>
      <c r="F337" s="111"/>
      <c r="G337" s="110"/>
    </row>
    <row r="338" ht="14.25" customHeight="1">
      <c r="B338" s="112"/>
      <c r="C338" s="106"/>
      <c r="D338" s="109"/>
      <c r="E338" s="110"/>
      <c r="F338" s="111"/>
      <c r="G338" s="110"/>
    </row>
    <row r="339" ht="14.25" customHeight="1">
      <c r="B339" s="112"/>
      <c r="C339" s="106"/>
      <c r="D339" s="109"/>
      <c r="E339" s="110"/>
      <c r="F339" s="111"/>
      <c r="G339" s="110"/>
    </row>
    <row r="340" ht="14.25" customHeight="1">
      <c r="B340" s="112"/>
      <c r="C340" s="106"/>
      <c r="D340" s="109"/>
      <c r="E340" s="110"/>
      <c r="F340" s="111"/>
      <c r="G340" s="110"/>
    </row>
    <row r="341" ht="14.25" customHeight="1">
      <c r="B341" s="112"/>
      <c r="C341" s="106"/>
      <c r="D341" s="109"/>
      <c r="E341" s="110"/>
      <c r="F341" s="111"/>
      <c r="G341" s="110"/>
    </row>
    <row r="342" ht="14.25" customHeight="1">
      <c r="B342" s="112"/>
      <c r="C342" s="106"/>
      <c r="D342" s="109"/>
      <c r="E342" s="110"/>
      <c r="F342" s="111"/>
      <c r="G342" s="110"/>
    </row>
    <row r="343" ht="14.25" customHeight="1">
      <c r="B343" s="112"/>
      <c r="C343" s="106"/>
      <c r="D343" s="109"/>
      <c r="E343" s="110"/>
      <c r="F343" s="111"/>
      <c r="G343" s="110"/>
    </row>
    <row r="344" ht="14.25" customHeight="1">
      <c r="B344" s="112"/>
      <c r="C344" s="106"/>
      <c r="D344" s="109"/>
      <c r="E344" s="110"/>
      <c r="F344" s="111"/>
      <c r="G344" s="110"/>
    </row>
    <row r="345" ht="14.25" customHeight="1">
      <c r="B345" s="112"/>
      <c r="C345" s="106"/>
      <c r="D345" s="109"/>
      <c r="E345" s="110"/>
      <c r="F345" s="111"/>
      <c r="G345" s="110"/>
    </row>
    <row r="346" ht="14.25" customHeight="1">
      <c r="B346" s="112"/>
      <c r="C346" s="106"/>
      <c r="D346" s="109"/>
      <c r="E346" s="110"/>
      <c r="F346" s="111"/>
      <c r="G346" s="110"/>
    </row>
    <row r="347" ht="14.25" customHeight="1">
      <c r="B347" s="112"/>
      <c r="C347" s="106"/>
      <c r="D347" s="109"/>
      <c r="E347" s="110"/>
      <c r="F347" s="111"/>
      <c r="G347" s="110"/>
    </row>
    <row r="348" ht="14.25" customHeight="1">
      <c r="B348" s="112"/>
      <c r="C348" s="106"/>
      <c r="D348" s="109"/>
      <c r="E348" s="110"/>
      <c r="F348" s="111"/>
      <c r="G348" s="110"/>
    </row>
    <row r="349" ht="14.25" customHeight="1">
      <c r="B349" s="112"/>
      <c r="C349" s="106"/>
      <c r="D349" s="109"/>
      <c r="E349" s="110"/>
      <c r="F349" s="111"/>
      <c r="G349" s="110"/>
    </row>
    <row r="350" ht="14.25" customHeight="1">
      <c r="B350" s="112"/>
      <c r="C350" s="106"/>
      <c r="D350" s="109"/>
      <c r="E350" s="110"/>
      <c r="F350" s="111"/>
      <c r="G350" s="110"/>
    </row>
    <row r="351" ht="14.25" customHeight="1">
      <c r="B351" s="112"/>
      <c r="C351" s="106"/>
      <c r="D351" s="109"/>
      <c r="E351" s="110"/>
      <c r="F351" s="111"/>
      <c r="G351" s="110"/>
    </row>
    <row r="352" ht="14.25" customHeight="1">
      <c r="B352" s="112"/>
      <c r="C352" s="106"/>
      <c r="D352" s="109"/>
      <c r="E352" s="110"/>
      <c r="F352" s="111"/>
      <c r="G352" s="110"/>
    </row>
    <row r="353" ht="14.25" customHeight="1">
      <c r="B353" s="112"/>
      <c r="C353" s="106"/>
      <c r="D353" s="109"/>
      <c r="E353" s="110"/>
      <c r="F353" s="111"/>
      <c r="G353" s="110"/>
    </row>
    <row r="354" ht="14.25" customHeight="1">
      <c r="B354" s="112"/>
      <c r="C354" s="106"/>
      <c r="D354" s="109"/>
      <c r="E354" s="110"/>
      <c r="F354" s="111"/>
      <c r="G354" s="110"/>
    </row>
    <row r="355" ht="14.25" customHeight="1">
      <c r="B355" s="112"/>
      <c r="C355" s="106"/>
      <c r="D355" s="109"/>
      <c r="E355" s="110"/>
      <c r="F355" s="111"/>
      <c r="G355" s="110"/>
    </row>
    <row r="356" ht="14.25" customHeight="1">
      <c r="B356" s="112"/>
      <c r="C356" s="106"/>
      <c r="D356" s="109"/>
      <c r="E356" s="110"/>
      <c r="F356" s="111"/>
      <c r="G356" s="110"/>
    </row>
    <row r="357" ht="14.25" customHeight="1">
      <c r="B357" s="112"/>
      <c r="C357" s="106"/>
      <c r="D357" s="109"/>
      <c r="E357" s="110"/>
      <c r="F357" s="111"/>
      <c r="G357" s="110"/>
    </row>
    <row r="358" ht="14.25" customHeight="1">
      <c r="B358" s="112"/>
      <c r="C358" s="106"/>
      <c r="D358" s="109"/>
      <c r="E358" s="110"/>
      <c r="F358" s="111"/>
      <c r="G358" s="110"/>
    </row>
    <row r="359" ht="14.25" customHeight="1">
      <c r="B359" s="112"/>
      <c r="C359" s="106"/>
      <c r="D359" s="109"/>
      <c r="E359" s="110"/>
      <c r="F359" s="111"/>
      <c r="G359" s="110"/>
    </row>
    <row r="360" ht="14.25" customHeight="1">
      <c r="B360" s="112"/>
      <c r="C360" s="106"/>
      <c r="D360" s="109"/>
      <c r="E360" s="110"/>
      <c r="F360" s="111"/>
      <c r="G360" s="110"/>
    </row>
    <row r="361" ht="14.25" customHeight="1">
      <c r="B361" s="112"/>
      <c r="C361" s="106"/>
      <c r="D361" s="109"/>
      <c r="E361" s="110"/>
      <c r="F361" s="111"/>
      <c r="G361" s="110"/>
    </row>
    <row r="362" ht="14.25" customHeight="1">
      <c r="B362" s="112"/>
      <c r="C362" s="106"/>
      <c r="D362" s="109"/>
      <c r="E362" s="110"/>
      <c r="F362" s="111"/>
      <c r="G362" s="110"/>
    </row>
    <row r="363" ht="14.25" customHeight="1">
      <c r="B363" s="112"/>
      <c r="C363" s="106"/>
      <c r="D363" s="109"/>
      <c r="E363" s="110"/>
      <c r="F363" s="111"/>
      <c r="G363" s="110"/>
    </row>
    <row r="364" ht="14.25" customHeight="1">
      <c r="B364" s="112"/>
      <c r="C364" s="106"/>
      <c r="D364" s="109"/>
      <c r="E364" s="110"/>
      <c r="F364" s="111"/>
      <c r="G364" s="110"/>
    </row>
    <row r="365" ht="14.25" customHeight="1">
      <c r="B365" s="112"/>
      <c r="C365" s="106"/>
      <c r="D365" s="109"/>
      <c r="E365" s="110"/>
      <c r="F365" s="111"/>
      <c r="G365" s="110"/>
    </row>
    <row r="366" ht="14.25" customHeight="1">
      <c r="B366" s="112"/>
      <c r="C366" s="106"/>
      <c r="D366" s="109"/>
      <c r="E366" s="110"/>
      <c r="F366" s="111"/>
      <c r="G366" s="110"/>
    </row>
    <row r="367" ht="14.25" customHeight="1">
      <c r="B367" s="112"/>
      <c r="C367" s="106"/>
      <c r="D367" s="109"/>
      <c r="E367" s="110"/>
      <c r="F367" s="111"/>
      <c r="G367" s="110"/>
    </row>
    <row r="368" ht="14.25" customHeight="1">
      <c r="B368" s="112"/>
      <c r="C368" s="106"/>
      <c r="D368" s="109"/>
      <c r="E368" s="110"/>
      <c r="F368" s="111"/>
      <c r="G368" s="110"/>
    </row>
    <row r="369" ht="14.25" customHeight="1">
      <c r="B369" s="112"/>
      <c r="C369" s="106"/>
      <c r="D369" s="109"/>
      <c r="E369" s="110"/>
      <c r="F369" s="111"/>
      <c r="G369" s="110"/>
    </row>
    <row r="370" ht="14.25" customHeight="1">
      <c r="B370" s="112"/>
      <c r="C370" s="106"/>
      <c r="D370" s="109"/>
      <c r="E370" s="110"/>
      <c r="F370" s="111"/>
      <c r="G370" s="110"/>
    </row>
    <row r="371" ht="14.25" customHeight="1">
      <c r="B371" s="112"/>
      <c r="C371" s="106"/>
      <c r="D371" s="109"/>
      <c r="E371" s="110"/>
      <c r="F371" s="111"/>
      <c r="G371" s="110"/>
    </row>
    <row r="372" ht="14.25" customHeight="1">
      <c r="B372" s="112"/>
      <c r="C372" s="106"/>
      <c r="D372" s="109"/>
      <c r="E372" s="110"/>
      <c r="F372" s="111"/>
      <c r="G372" s="110"/>
    </row>
    <row r="373" ht="14.25" customHeight="1">
      <c r="B373" s="112"/>
      <c r="C373" s="106"/>
      <c r="D373" s="109"/>
      <c r="E373" s="110"/>
      <c r="F373" s="111"/>
      <c r="G373" s="110"/>
    </row>
    <row r="374" ht="14.25" customHeight="1">
      <c r="B374" s="112"/>
      <c r="C374" s="106"/>
      <c r="D374" s="109"/>
      <c r="E374" s="110"/>
      <c r="F374" s="111"/>
      <c r="G374" s="110"/>
    </row>
    <row r="375" ht="14.25" customHeight="1">
      <c r="B375" s="112"/>
      <c r="C375" s="106"/>
      <c r="D375" s="109"/>
      <c r="E375" s="110"/>
      <c r="F375" s="111"/>
      <c r="G375" s="110"/>
    </row>
    <row r="376" ht="14.25" customHeight="1">
      <c r="B376" s="112"/>
      <c r="C376" s="106"/>
      <c r="D376" s="109"/>
      <c r="E376" s="110"/>
      <c r="F376" s="111"/>
      <c r="G376" s="110"/>
    </row>
    <row r="377" ht="14.25" customHeight="1">
      <c r="B377" s="112"/>
      <c r="C377" s="106"/>
      <c r="D377" s="109"/>
      <c r="E377" s="110"/>
      <c r="F377" s="111"/>
      <c r="G377" s="110"/>
    </row>
    <row r="378" ht="14.25" customHeight="1">
      <c r="B378" s="112"/>
      <c r="C378" s="106"/>
      <c r="D378" s="109"/>
      <c r="E378" s="110"/>
      <c r="F378" s="111"/>
      <c r="G378" s="110"/>
    </row>
    <row r="379" ht="14.25" customHeight="1">
      <c r="B379" s="112"/>
      <c r="C379" s="106"/>
      <c r="D379" s="109"/>
      <c r="E379" s="110"/>
      <c r="F379" s="111"/>
      <c r="G379" s="110"/>
    </row>
    <row r="380" ht="14.25" customHeight="1">
      <c r="B380" s="112"/>
      <c r="C380" s="106"/>
      <c r="D380" s="109"/>
      <c r="E380" s="110"/>
      <c r="F380" s="111"/>
      <c r="G380" s="110"/>
    </row>
    <row r="381" ht="14.25" customHeight="1">
      <c r="B381" s="112"/>
      <c r="C381" s="106"/>
      <c r="D381" s="109"/>
      <c r="E381" s="110"/>
      <c r="F381" s="111"/>
      <c r="G381" s="110"/>
    </row>
    <row r="382" ht="14.25" customHeight="1">
      <c r="B382" s="112"/>
      <c r="C382" s="106"/>
      <c r="D382" s="109"/>
      <c r="E382" s="110"/>
      <c r="F382" s="111"/>
      <c r="G382" s="110"/>
    </row>
    <row r="383" ht="14.25" customHeight="1">
      <c r="B383" s="112"/>
      <c r="C383" s="106"/>
      <c r="D383" s="109"/>
      <c r="E383" s="110"/>
      <c r="F383" s="111"/>
      <c r="G383" s="110"/>
    </row>
    <row r="384" ht="14.25" customHeight="1">
      <c r="B384" s="112"/>
      <c r="C384" s="106"/>
      <c r="D384" s="109"/>
      <c r="E384" s="110"/>
      <c r="F384" s="111"/>
      <c r="G384" s="110"/>
    </row>
    <row r="385" ht="14.25" customHeight="1">
      <c r="B385" s="112"/>
      <c r="C385" s="106"/>
      <c r="D385" s="109"/>
      <c r="E385" s="110"/>
      <c r="F385" s="111"/>
      <c r="G385" s="110"/>
    </row>
    <row r="386" ht="14.25" customHeight="1">
      <c r="B386" s="112"/>
      <c r="C386" s="106"/>
      <c r="D386" s="109"/>
      <c r="E386" s="110"/>
      <c r="F386" s="111"/>
      <c r="G386" s="110"/>
    </row>
    <row r="387" ht="14.25" customHeight="1">
      <c r="B387" s="112"/>
      <c r="C387" s="106"/>
      <c r="D387" s="109"/>
      <c r="E387" s="110"/>
      <c r="F387" s="111"/>
      <c r="G387" s="110"/>
    </row>
    <row r="388" ht="14.25" customHeight="1">
      <c r="B388" s="112"/>
      <c r="C388" s="106"/>
      <c r="D388" s="109"/>
      <c r="E388" s="110"/>
      <c r="F388" s="111"/>
      <c r="G388" s="110"/>
    </row>
    <row r="389" ht="14.25" customHeight="1">
      <c r="B389" s="112"/>
      <c r="C389" s="106"/>
      <c r="D389" s="109"/>
      <c r="E389" s="110"/>
      <c r="F389" s="111"/>
      <c r="G389" s="110"/>
    </row>
    <row r="390" ht="14.25" customHeight="1">
      <c r="B390" s="112"/>
      <c r="C390" s="106"/>
      <c r="D390" s="109"/>
      <c r="E390" s="110"/>
      <c r="F390" s="111"/>
      <c r="G390" s="110"/>
    </row>
    <row r="391" ht="14.25" customHeight="1">
      <c r="B391" s="112"/>
      <c r="C391" s="106"/>
      <c r="D391" s="109"/>
      <c r="E391" s="110"/>
      <c r="F391" s="111"/>
      <c r="G391" s="110"/>
    </row>
    <row r="392" ht="14.25" customHeight="1">
      <c r="B392" s="112"/>
      <c r="C392" s="106"/>
      <c r="D392" s="109"/>
      <c r="E392" s="110"/>
      <c r="F392" s="111"/>
      <c r="G392" s="110"/>
    </row>
    <row r="393" ht="14.25" customHeight="1">
      <c r="B393" s="112"/>
      <c r="C393" s="106"/>
      <c r="D393" s="109"/>
      <c r="E393" s="110"/>
      <c r="F393" s="111"/>
      <c r="G393" s="110"/>
    </row>
    <row r="394" ht="14.25" customHeight="1">
      <c r="B394" s="112"/>
      <c r="C394" s="106"/>
      <c r="D394" s="109"/>
      <c r="E394" s="110"/>
      <c r="F394" s="111"/>
      <c r="G394" s="110"/>
    </row>
    <row r="395" ht="14.25" customHeight="1">
      <c r="B395" s="112"/>
      <c r="C395" s="106"/>
      <c r="D395" s="109"/>
      <c r="E395" s="110"/>
      <c r="F395" s="111"/>
      <c r="G395" s="110"/>
    </row>
    <row r="396" ht="14.25" customHeight="1">
      <c r="B396" s="112"/>
      <c r="C396" s="106"/>
      <c r="D396" s="109"/>
      <c r="E396" s="110"/>
      <c r="F396" s="111"/>
      <c r="G396" s="110"/>
    </row>
    <row r="397" ht="14.25" customHeight="1">
      <c r="B397" s="112"/>
      <c r="C397" s="106"/>
      <c r="D397" s="109"/>
      <c r="E397" s="110"/>
      <c r="F397" s="111"/>
      <c r="G397" s="110"/>
    </row>
    <row r="398" ht="14.25" customHeight="1">
      <c r="B398" s="112"/>
      <c r="C398" s="106"/>
      <c r="D398" s="109"/>
      <c r="E398" s="110"/>
      <c r="F398" s="111"/>
      <c r="G398" s="110"/>
    </row>
    <row r="399" ht="14.25" customHeight="1">
      <c r="B399" s="112"/>
      <c r="C399" s="106"/>
      <c r="D399" s="109"/>
      <c r="E399" s="110"/>
      <c r="F399" s="111"/>
      <c r="G399" s="110"/>
    </row>
    <row r="400" ht="14.25" customHeight="1">
      <c r="B400" s="112"/>
      <c r="C400" s="106"/>
      <c r="D400" s="109"/>
      <c r="E400" s="110"/>
      <c r="F400" s="111"/>
      <c r="G400" s="110"/>
    </row>
    <row r="401" ht="14.25" customHeight="1">
      <c r="B401" s="112"/>
      <c r="C401" s="106"/>
      <c r="D401" s="109"/>
      <c r="E401" s="110"/>
      <c r="F401" s="111"/>
      <c r="G401" s="110"/>
    </row>
    <row r="402" ht="14.25" customHeight="1">
      <c r="B402" s="112"/>
      <c r="C402" s="106"/>
      <c r="D402" s="109"/>
      <c r="E402" s="110"/>
      <c r="F402" s="111"/>
      <c r="G402" s="110"/>
    </row>
    <row r="403" ht="14.25" customHeight="1">
      <c r="B403" s="112"/>
      <c r="C403" s="106"/>
      <c r="D403" s="109"/>
      <c r="E403" s="110"/>
      <c r="F403" s="111"/>
      <c r="G403" s="110"/>
    </row>
    <row r="404" ht="14.25" customHeight="1">
      <c r="B404" s="112"/>
      <c r="C404" s="106"/>
      <c r="D404" s="109"/>
      <c r="E404" s="110"/>
      <c r="F404" s="111"/>
      <c r="G404" s="110"/>
    </row>
    <row r="405" ht="14.25" customHeight="1">
      <c r="B405" s="112"/>
      <c r="C405" s="106"/>
      <c r="D405" s="109"/>
      <c r="E405" s="110"/>
      <c r="F405" s="111"/>
      <c r="G405" s="110"/>
    </row>
    <row r="406" ht="14.25" customHeight="1">
      <c r="B406" s="112"/>
      <c r="C406" s="106"/>
      <c r="D406" s="109"/>
      <c r="E406" s="110"/>
      <c r="F406" s="111"/>
      <c r="G406" s="110"/>
    </row>
    <row r="407" ht="14.25" customHeight="1">
      <c r="B407" s="112"/>
      <c r="C407" s="106"/>
      <c r="D407" s="109"/>
      <c r="E407" s="110"/>
      <c r="F407" s="111"/>
      <c r="G407" s="110"/>
    </row>
    <row r="408" ht="14.25" customHeight="1">
      <c r="B408" s="112"/>
      <c r="C408" s="106"/>
      <c r="D408" s="109"/>
      <c r="E408" s="110"/>
      <c r="F408" s="111"/>
      <c r="G408" s="110"/>
    </row>
    <row r="409" ht="14.25" customHeight="1">
      <c r="B409" s="112"/>
      <c r="C409" s="106"/>
      <c r="D409" s="109"/>
      <c r="E409" s="110"/>
      <c r="F409" s="111"/>
      <c r="G409" s="110"/>
    </row>
    <row r="410" ht="14.25" customHeight="1">
      <c r="B410" s="112"/>
      <c r="C410" s="106"/>
      <c r="D410" s="109"/>
      <c r="E410" s="110"/>
      <c r="F410" s="111"/>
      <c r="G410" s="110"/>
    </row>
    <row r="411" ht="14.25" customHeight="1">
      <c r="B411" s="112"/>
      <c r="C411" s="106"/>
      <c r="D411" s="109"/>
      <c r="E411" s="110"/>
      <c r="F411" s="111"/>
      <c r="G411" s="110"/>
    </row>
    <row r="412" ht="14.25" customHeight="1">
      <c r="B412" s="112"/>
      <c r="C412" s="106"/>
      <c r="D412" s="109"/>
      <c r="E412" s="110"/>
      <c r="F412" s="111"/>
      <c r="G412" s="110"/>
    </row>
    <row r="413" ht="14.25" customHeight="1">
      <c r="B413" s="112"/>
      <c r="C413" s="106"/>
      <c r="D413" s="109"/>
      <c r="E413" s="110"/>
      <c r="F413" s="111"/>
      <c r="G413" s="110"/>
    </row>
    <row r="414" ht="14.25" customHeight="1">
      <c r="B414" s="112"/>
      <c r="C414" s="106"/>
      <c r="D414" s="109"/>
      <c r="E414" s="110"/>
      <c r="F414" s="111"/>
      <c r="G414" s="110"/>
    </row>
    <row r="415" ht="14.25" customHeight="1">
      <c r="B415" s="112"/>
      <c r="C415" s="106"/>
      <c r="D415" s="109"/>
      <c r="E415" s="110"/>
      <c r="F415" s="111"/>
      <c r="G415" s="110"/>
    </row>
    <row r="416" ht="14.25" customHeight="1">
      <c r="B416" s="112"/>
      <c r="C416" s="106"/>
      <c r="D416" s="109"/>
      <c r="E416" s="110"/>
      <c r="F416" s="111"/>
      <c r="G416" s="110"/>
    </row>
    <row r="417" ht="14.25" customHeight="1">
      <c r="B417" s="112"/>
      <c r="C417" s="106"/>
      <c r="D417" s="109"/>
      <c r="E417" s="110"/>
      <c r="F417" s="111"/>
      <c r="G417" s="110"/>
    </row>
    <row r="418" ht="14.25" customHeight="1">
      <c r="B418" s="112"/>
      <c r="C418" s="106"/>
      <c r="D418" s="109"/>
      <c r="E418" s="110"/>
      <c r="F418" s="111"/>
      <c r="G418" s="110"/>
    </row>
    <row r="419" ht="14.25" customHeight="1">
      <c r="B419" s="112"/>
      <c r="C419" s="106"/>
      <c r="D419" s="109"/>
      <c r="E419" s="110"/>
      <c r="F419" s="111"/>
      <c r="G419" s="110"/>
    </row>
    <row r="420" ht="14.25" customHeight="1">
      <c r="B420" s="112"/>
      <c r="C420" s="106"/>
      <c r="D420" s="109"/>
      <c r="E420" s="110"/>
      <c r="F420" s="111"/>
      <c r="G420" s="110"/>
    </row>
    <row r="421" ht="14.25" customHeight="1">
      <c r="B421" s="112"/>
      <c r="C421" s="106"/>
      <c r="D421" s="109"/>
      <c r="E421" s="110"/>
      <c r="F421" s="111"/>
      <c r="G421" s="110"/>
    </row>
    <row r="422" ht="14.25" customHeight="1">
      <c r="B422" s="112"/>
      <c r="C422" s="106"/>
      <c r="D422" s="109"/>
      <c r="E422" s="110"/>
      <c r="F422" s="111"/>
      <c r="G422" s="110"/>
    </row>
    <row r="423" ht="14.25" customHeight="1">
      <c r="B423" s="112"/>
      <c r="C423" s="106"/>
      <c r="D423" s="109"/>
      <c r="E423" s="110"/>
      <c r="F423" s="111"/>
      <c r="G423" s="110"/>
    </row>
    <row r="424" ht="14.25" customHeight="1">
      <c r="B424" s="112"/>
      <c r="C424" s="106"/>
      <c r="D424" s="109"/>
      <c r="E424" s="110"/>
      <c r="F424" s="111"/>
      <c r="G424" s="110"/>
    </row>
    <row r="425" ht="14.25" customHeight="1">
      <c r="B425" s="112"/>
      <c r="C425" s="106"/>
      <c r="D425" s="109"/>
      <c r="E425" s="110"/>
      <c r="F425" s="111"/>
      <c r="G425" s="110"/>
    </row>
    <row r="426" ht="14.25" customHeight="1">
      <c r="B426" s="112"/>
      <c r="C426" s="106"/>
      <c r="D426" s="109"/>
      <c r="E426" s="110"/>
      <c r="F426" s="111"/>
      <c r="G426" s="110"/>
    </row>
    <row r="427" ht="14.25" customHeight="1">
      <c r="B427" s="112"/>
      <c r="C427" s="106"/>
      <c r="D427" s="109"/>
      <c r="E427" s="110"/>
      <c r="F427" s="111"/>
      <c r="G427" s="110"/>
    </row>
    <row r="428" ht="14.25" customHeight="1">
      <c r="B428" s="112"/>
      <c r="C428" s="106"/>
      <c r="D428" s="109"/>
      <c r="E428" s="110"/>
      <c r="F428" s="111"/>
      <c r="G428" s="110"/>
    </row>
    <row r="429" ht="14.25" customHeight="1">
      <c r="B429" s="112"/>
      <c r="C429" s="106"/>
      <c r="D429" s="109"/>
      <c r="E429" s="110"/>
      <c r="F429" s="111"/>
      <c r="G429" s="110"/>
    </row>
    <row r="430" ht="14.25" customHeight="1">
      <c r="B430" s="112"/>
      <c r="C430" s="106"/>
      <c r="D430" s="109"/>
      <c r="E430" s="110"/>
      <c r="F430" s="111"/>
      <c r="G430" s="110"/>
    </row>
    <row r="431" ht="14.25" customHeight="1">
      <c r="B431" s="112"/>
      <c r="C431" s="106"/>
      <c r="D431" s="109"/>
      <c r="E431" s="110"/>
      <c r="F431" s="111"/>
      <c r="G431" s="110"/>
    </row>
    <row r="432" ht="14.25" customHeight="1">
      <c r="B432" s="112"/>
      <c r="C432" s="106"/>
      <c r="D432" s="109"/>
      <c r="E432" s="110"/>
      <c r="F432" s="111"/>
      <c r="G432" s="110"/>
    </row>
    <row r="433" ht="14.25" customHeight="1">
      <c r="B433" s="112"/>
      <c r="C433" s="106"/>
      <c r="D433" s="109"/>
      <c r="E433" s="110"/>
      <c r="F433" s="111"/>
      <c r="G433" s="110"/>
    </row>
    <row r="434" ht="14.25" customHeight="1">
      <c r="B434" s="112"/>
      <c r="C434" s="106"/>
      <c r="D434" s="109"/>
      <c r="E434" s="110"/>
      <c r="F434" s="111"/>
      <c r="G434" s="110"/>
    </row>
    <row r="435" ht="14.25" customHeight="1">
      <c r="B435" s="112"/>
      <c r="C435" s="106"/>
      <c r="D435" s="109"/>
      <c r="E435" s="110"/>
      <c r="F435" s="111"/>
      <c r="G435" s="110"/>
    </row>
    <row r="436" ht="14.25" customHeight="1">
      <c r="B436" s="112"/>
      <c r="C436" s="106"/>
      <c r="D436" s="109"/>
      <c r="E436" s="110"/>
      <c r="F436" s="111"/>
      <c r="G436" s="110"/>
    </row>
    <row r="437" ht="14.25" customHeight="1">
      <c r="B437" s="112"/>
      <c r="C437" s="106"/>
      <c r="D437" s="109"/>
      <c r="E437" s="110"/>
      <c r="F437" s="111"/>
      <c r="G437" s="110"/>
    </row>
    <row r="438" ht="14.25" customHeight="1">
      <c r="B438" s="112"/>
      <c r="C438" s="106"/>
      <c r="D438" s="109"/>
      <c r="E438" s="110"/>
      <c r="F438" s="111"/>
      <c r="G438" s="110"/>
    </row>
    <row r="439" ht="14.25" customHeight="1">
      <c r="B439" s="112"/>
      <c r="C439" s="106"/>
      <c r="D439" s="109"/>
      <c r="E439" s="110"/>
      <c r="F439" s="111"/>
      <c r="G439" s="110"/>
    </row>
    <row r="440" ht="14.25" customHeight="1">
      <c r="B440" s="112"/>
      <c r="C440" s="106"/>
      <c r="D440" s="109"/>
      <c r="E440" s="110"/>
      <c r="F440" s="111"/>
      <c r="G440" s="110"/>
    </row>
    <row r="441" ht="14.25" customHeight="1">
      <c r="B441" s="112"/>
      <c r="C441" s="106"/>
      <c r="D441" s="109"/>
      <c r="E441" s="110"/>
      <c r="F441" s="111"/>
      <c r="G441" s="110"/>
    </row>
    <row r="442" ht="14.25" customHeight="1">
      <c r="B442" s="112"/>
      <c r="C442" s="106"/>
      <c r="D442" s="109"/>
      <c r="E442" s="110"/>
      <c r="F442" s="111"/>
      <c r="G442" s="110"/>
    </row>
    <row r="443" ht="14.25" customHeight="1">
      <c r="B443" s="112"/>
      <c r="C443" s="106"/>
      <c r="D443" s="109"/>
      <c r="E443" s="110"/>
      <c r="F443" s="111"/>
      <c r="G443" s="110"/>
    </row>
    <row r="444" ht="14.25" customHeight="1">
      <c r="B444" s="112"/>
      <c r="C444" s="106"/>
      <c r="D444" s="109"/>
      <c r="E444" s="110"/>
      <c r="F444" s="111"/>
      <c r="G444" s="110"/>
    </row>
    <row r="445" ht="14.25" customHeight="1">
      <c r="B445" s="112"/>
      <c r="C445" s="106"/>
      <c r="D445" s="109"/>
      <c r="E445" s="110"/>
      <c r="F445" s="111"/>
      <c r="G445" s="110"/>
    </row>
    <row r="446" ht="14.25" customHeight="1">
      <c r="B446" s="112"/>
      <c r="C446" s="106"/>
      <c r="D446" s="109"/>
      <c r="E446" s="110"/>
      <c r="F446" s="111"/>
      <c r="G446" s="110"/>
    </row>
    <row r="447" ht="14.25" customHeight="1">
      <c r="B447" s="112"/>
      <c r="C447" s="106"/>
      <c r="D447" s="109"/>
      <c r="E447" s="110"/>
      <c r="F447" s="111"/>
      <c r="G447" s="110"/>
    </row>
    <row r="448" ht="14.25" customHeight="1">
      <c r="B448" s="112"/>
      <c r="C448" s="106"/>
      <c r="D448" s="109"/>
      <c r="E448" s="110"/>
      <c r="F448" s="111"/>
      <c r="G448" s="110"/>
    </row>
    <row r="449" ht="14.25" customHeight="1">
      <c r="B449" s="112"/>
      <c r="C449" s="106"/>
      <c r="D449" s="109"/>
      <c r="E449" s="110"/>
      <c r="F449" s="111"/>
      <c r="G449" s="110"/>
    </row>
    <row r="450" ht="14.25" customHeight="1">
      <c r="B450" s="112"/>
      <c r="C450" s="106"/>
      <c r="D450" s="109"/>
      <c r="E450" s="110"/>
      <c r="F450" s="111"/>
      <c r="G450" s="110"/>
    </row>
    <row r="451" ht="14.25" customHeight="1">
      <c r="B451" s="112"/>
      <c r="C451" s="106"/>
      <c r="D451" s="109"/>
      <c r="E451" s="110"/>
      <c r="F451" s="111"/>
      <c r="G451" s="110"/>
    </row>
    <row r="452" ht="14.25" customHeight="1">
      <c r="B452" s="112"/>
      <c r="C452" s="106"/>
      <c r="D452" s="109"/>
      <c r="E452" s="110"/>
      <c r="F452" s="111"/>
      <c r="G452" s="110"/>
    </row>
    <row r="453" ht="14.25" customHeight="1">
      <c r="B453" s="112"/>
      <c r="C453" s="106"/>
      <c r="D453" s="109"/>
      <c r="E453" s="110"/>
      <c r="F453" s="111"/>
      <c r="G453" s="110"/>
    </row>
    <row r="454" ht="14.25" customHeight="1">
      <c r="B454" s="112"/>
      <c r="C454" s="106"/>
      <c r="D454" s="109"/>
      <c r="E454" s="110"/>
      <c r="F454" s="111"/>
      <c r="G454" s="110"/>
    </row>
    <row r="455" ht="14.25" customHeight="1">
      <c r="B455" s="112"/>
      <c r="C455" s="106"/>
      <c r="D455" s="109"/>
      <c r="E455" s="110"/>
      <c r="F455" s="111"/>
      <c r="G455" s="110"/>
    </row>
    <row r="456" ht="14.25" customHeight="1">
      <c r="B456" s="112"/>
      <c r="C456" s="106"/>
      <c r="D456" s="109"/>
      <c r="E456" s="110"/>
      <c r="F456" s="111"/>
      <c r="G456" s="110"/>
    </row>
    <row r="457" ht="14.25" customHeight="1">
      <c r="B457" s="112"/>
      <c r="C457" s="106"/>
      <c r="D457" s="109"/>
      <c r="E457" s="110"/>
      <c r="F457" s="111"/>
      <c r="G457" s="110"/>
    </row>
    <row r="458" ht="14.25" customHeight="1">
      <c r="B458" s="112"/>
      <c r="C458" s="106"/>
      <c r="D458" s="109"/>
      <c r="E458" s="110"/>
      <c r="F458" s="111"/>
      <c r="G458" s="110"/>
    </row>
    <row r="459" ht="14.25" customHeight="1">
      <c r="B459" s="112"/>
      <c r="C459" s="106"/>
      <c r="D459" s="109"/>
      <c r="E459" s="110"/>
      <c r="F459" s="111"/>
      <c r="G459" s="110"/>
    </row>
    <row r="460" ht="14.25" customHeight="1">
      <c r="B460" s="112"/>
      <c r="C460" s="106"/>
      <c r="D460" s="109"/>
      <c r="E460" s="110"/>
      <c r="F460" s="111"/>
      <c r="G460" s="110"/>
    </row>
    <row r="461" ht="14.25" customHeight="1">
      <c r="B461" s="112"/>
      <c r="C461" s="106"/>
      <c r="D461" s="109"/>
      <c r="E461" s="110"/>
      <c r="F461" s="111"/>
      <c r="G461" s="110"/>
    </row>
    <row r="462" ht="14.25" customHeight="1">
      <c r="B462" s="112"/>
      <c r="C462" s="106"/>
      <c r="D462" s="109"/>
      <c r="E462" s="110"/>
      <c r="F462" s="111"/>
      <c r="G462" s="110"/>
    </row>
    <row r="463" ht="14.25" customHeight="1">
      <c r="B463" s="112"/>
      <c r="C463" s="106"/>
      <c r="D463" s="109"/>
      <c r="E463" s="110"/>
      <c r="F463" s="111"/>
      <c r="G463" s="110"/>
    </row>
    <row r="464" ht="14.25" customHeight="1">
      <c r="B464" s="112"/>
      <c r="C464" s="106"/>
      <c r="D464" s="109"/>
      <c r="E464" s="110"/>
      <c r="F464" s="111"/>
      <c r="G464" s="110"/>
    </row>
    <row r="465" ht="14.25" customHeight="1">
      <c r="B465" s="112"/>
      <c r="C465" s="106"/>
      <c r="D465" s="109"/>
      <c r="E465" s="110"/>
      <c r="F465" s="111"/>
      <c r="G465" s="110"/>
    </row>
    <row r="466" ht="14.25" customHeight="1">
      <c r="B466" s="112"/>
      <c r="C466" s="106"/>
      <c r="D466" s="109"/>
      <c r="E466" s="110"/>
      <c r="F466" s="111"/>
      <c r="G466" s="110"/>
    </row>
    <row r="467" ht="14.25" customHeight="1">
      <c r="B467" s="112"/>
      <c r="C467" s="106"/>
      <c r="D467" s="109"/>
      <c r="E467" s="110"/>
      <c r="F467" s="111"/>
      <c r="G467" s="110"/>
    </row>
    <row r="468" ht="14.25" customHeight="1">
      <c r="B468" s="112"/>
      <c r="C468" s="106"/>
      <c r="D468" s="109"/>
      <c r="E468" s="110"/>
      <c r="F468" s="111"/>
      <c r="G468" s="110"/>
    </row>
    <row r="469" ht="14.25" customHeight="1">
      <c r="B469" s="112"/>
      <c r="C469" s="106"/>
      <c r="D469" s="109"/>
      <c r="E469" s="110"/>
      <c r="F469" s="111"/>
      <c r="G469" s="110"/>
    </row>
    <row r="470" ht="14.25" customHeight="1">
      <c r="B470" s="112"/>
      <c r="C470" s="106"/>
      <c r="D470" s="109"/>
      <c r="E470" s="110"/>
      <c r="F470" s="111"/>
      <c r="G470" s="110"/>
    </row>
    <row r="471" ht="14.25" customHeight="1">
      <c r="B471" s="112"/>
      <c r="C471" s="106"/>
      <c r="D471" s="109"/>
      <c r="E471" s="110"/>
      <c r="F471" s="111"/>
      <c r="G471" s="110"/>
    </row>
    <row r="472" ht="14.25" customHeight="1">
      <c r="B472" s="112"/>
      <c r="C472" s="106"/>
      <c r="D472" s="109"/>
      <c r="E472" s="110"/>
      <c r="F472" s="111"/>
      <c r="G472" s="110"/>
    </row>
    <row r="473" ht="14.25" customHeight="1">
      <c r="B473" s="112"/>
      <c r="C473" s="106"/>
      <c r="D473" s="109"/>
      <c r="E473" s="110"/>
      <c r="F473" s="111"/>
      <c r="G473" s="110"/>
    </row>
    <row r="474" ht="14.25" customHeight="1">
      <c r="B474" s="112"/>
      <c r="C474" s="106"/>
      <c r="D474" s="109"/>
      <c r="E474" s="110"/>
      <c r="F474" s="111"/>
      <c r="G474" s="110"/>
    </row>
    <row r="475" ht="14.25" customHeight="1">
      <c r="B475" s="112"/>
      <c r="C475" s="106"/>
      <c r="D475" s="109"/>
      <c r="E475" s="110"/>
      <c r="F475" s="111"/>
      <c r="G475" s="110"/>
    </row>
    <row r="476" ht="14.25" customHeight="1">
      <c r="B476" s="112"/>
      <c r="C476" s="106"/>
      <c r="D476" s="109"/>
      <c r="E476" s="110"/>
      <c r="F476" s="111"/>
      <c r="G476" s="110"/>
    </row>
    <row r="477" ht="14.25" customHeight="1">
      <c r="B477" s="112"/>
      <c r="C477" s="106"/>
      <c r="D477" s="109"/>
      <c r="E477" s="110"/>
      <c r="F477" s="111"/>
      <c r="G477" s="110"/>
    </row>
    <row r="478" ht="14.25" customHeight="1">
      <c r="B478" s="112"/>
      <c r="C478" s="106"/>
      <c r="D478" s="109"/>
      <c r="E478" s="110"/>
      <c r="F478" s="111"/>
      <c r="G478" s="110"/>
    </row>
    <row r="479" ht="14.25" customHeight="1">
      <c r="B479" s="112"/>
      <c r="C479" s="106"/>
      <c r="D479" s="109"/>
      <c r="E479" s="110"/>
      <c r="F479" s="111"/>
      <c r="G479" s="110"/>
    </row>
    <row r="480" ht="14.25" customHeight="1">
      <c r="B480" s="112"/>
      <c r="C480" s="106"/>
      <c r="D480" s="109"/>
      <c r="E480" s="110"/>
      <c r="F480" s="111"/>
      <c r="G480" s="110"/>
    </row>
    <row r="481" ht="14.25" customHeight="1">
      <c r="B481" s="112"/>
      <c r="C481" s="106"/>
      <c r="D481" s="109"/>
      <c r="E481" s="110"/>
      <c r="F481" s="111"/>
      <c r="G481" s="110"/>
    </row>
    <row r="482" ht="14.25" customHeight="1">
      <c r="B482" s="112"/>
      <c r="C482" s="106"/>
      <c r="D482" s="109"/>
      <c r="E482" s="110"/>
      <c r="F482" s="111"/>
      <c r="G482" s="110"/>
    </row>
    <row r="483" ht="14.25" customHeight="1">
      <c r="B483" s="112"/>
      <c r="C483" s="106"/>
      <c r="D483" s="109"/>
      <c r="E483" s="110"/>
      <c r="F483" s="111"/>
      <c r="G483" s="110"/>
    </row>
    <row r="484" ht="14.25" customHeight="1">
      <c r="B484" s="112"/>
      <c r="C484" s="106"/>
      <c r="D484" s="109"/>
      <c r="E484" s="110"/>
      <c r="F484" s="111"/>
      <c r="G484" s="110"/>
    </row>
    <row r="485" ht="14.25" customHeight="1">
      <c r="B485" s="112"/>
      <c r="C485" s="106"/>
      <c r="D485" s="109"/>
      <c r="E485" s="110"/>
      <c r="F485" s="111"/>
      <c r="G485" s="110"/>
    </row>
    <row r="486" ht="14.25" customHeight="1">
      <c r="B486" s="112"/>
      <c r="C486" s="106"/>
      <c r="D486" s="109"/>
      <c r="E486" s="110"/>
      <c r="F486" s="111"/>
      <c r="G486" s="110"/>
    </row>
    <row r="487" ht="14.25" customHeight="1">
      <c r="B487" s="112"/>
      <c r="C487" s="106"/>
      <c r="D487" s="109"/>
      <c r="E487" s="110"/>
      <c r="F487" s="111"/>
      <c r="G487" s="110"/>
    </row>
    <row r="488" ht="14.25" customHeight="1">
      <c r="B488" s="112"/>
      <c r="C488" s="106"/>
      <c r="D488" s="109"/>
      <c r="E488" s="110"/>
      <c r="F488" s="111"/>
      <c r="G488" s="110"/>
    </row>
    <row r="489" ht="14.25" customHeight="1">
      <c r="B489" s="112"/>
      <c r="C489" s="106"/>
      <c r="D489" s="109"/>
      <c r="E489" s="110"/>
      <c r="F489" s="111"/>
      <c r="G489" s="110"/>
    </row>
    <row r="490" ht="14.25" customHeight="1">
      <c r="B490" s="112"/>
      <c r="C490" s="106"/>
      <c r="D490" s="109"/>
      <c r="E490" s="110"/>
      <c r="F490" s="111"/>
      <c r="G490" s="110"/>
    </row>
    <row r="491" ht="14.25" customHeight="1">
      <c r="B491" s="112"/>
      <c r="C491" s="106"/>
      <c r="D491" s="109"/>
      <c r="E491" s="110"/>
      <c r="F491" s="111"/>
      <c r="G491" s="110"/>
    </row>
    <row r="492" ht="14.25" customHeight="1">
      <c r="B492" s="112"/>
      <c r="C492" s="106"/>
      <c r="D492" s="109"/>
      <c r="E492" s="110"/>
      <c r="F492" s="111"/>
      <c r="G492" s="110"/>
    </row>
    <row r="493" ht="14.25" customHeight="1">
      <c r="B493" s="112"/>
      <c r="C493" s="106"/>
      <c r="D493" s="109"/>
      <c r="E493" s="110"/>
      <c r="F493" s="111"/>
      <c r="G493" s="110"/>
    </row>
    <row r="494" ht="14.25" customHeight="1">
      <c r="B494" s="112"/>
      <c r="C494" s="106"/>
      <c r="D494" s="109"/>
      <c r="E494" s="110"/>
      <c r="F494" s="111"/>
      <c r="G494" s="110"/>
    </row>
    <row r="495" ht="14.25" customHeight="1">
      <c r="B495" s="112"/>
      <c r="C495" s="106"/>
      <c r="D495" s="109"/>
      <c r="E495" s="110"/>
      <c r="F495" s="111"/>
      <c r="G495" s="110"/>
    </row>
    <row r="496" ht="14.25" customHeight="1">
      <c r="B496" s="112"/>
      <c r="C496" s="106"/>
      <c r="D496" s="109"/>
      <c r="E496" s="110"/>
      <c r="F496" s="111"/>
      <c r="G496" s="110"/>
    </row>
    <row r="497" ht="14.25" customHeight="1">
      <c r="B497" s="112"/>
      <c r="C497" s="106"/>
      <c r="D497" s="109"/>
      <c r="E497" s="110"/>
      <c r="F497" s="111"/>
      <c r="G497" s="110"/>
    </row>
    <row r="498" ht="14.25" customHeight="1">
      <c r="B498" s="112"/>
      <c r="C498" s="106"/>
      <c r="D498" s="109"/>
      <c r="E498" s="110"/>
      <c r="F498" s="111"/>
      <c r="G498" s="110"/>
    </row>
    <row r="499" ht="14.25" customHeight="1">
      <c r="B499" s="112"/>
      <c r="C499" s="106"/>
      <c r="D499" s="109"/>
      <c r="E499" s="110"/>
      <c r="F499" s="111"/>
      <c r="G499" s="110"/>
    </row>
    <row r="500" ht="14.25" customHeight="1">
      <c r="B500" s="112"/>
      <c r="C500" s="106"/>
      <c r="D500" s="109"/>
      <c r="E500" s="110"/>
      <c r="F500" s="111"/>
      <c r="G500" s="110"/>
    </row>
    <row r="501" ht="14.25" customHeight="1">
      <c r="B501" s="112"/>
      <c r="C501" s="106"/>
      <c r="D501" s="109"/>
      <c r="E501" s="110"/>
      <c r="F501" s="111"/>
      <c r="G501" s="110"/>
    </row>
    <row r="502" ht="14.25" customHeight="1">
      <c r="B502" s="112"/>
      <c r="C502" s="106"/>
      <c r="D502" s="109"/>
      <c r="E502" s="110"/>
      <c r="F502" s="111"/>
      <c r="G502" s="110"/>
    </row>
    <row r="503" ht="14.25" customHeight="1">
      <c r="B503" s="112"/>
      <c r="C503" s="106"/>
      <c r="D503" s="109"/>
      <c r="E503" s="110"/>
      <c r="F503" s="111"/>
      <c r="G503" s="110"/>
    </row>
    <row r="504" ht="14.25" customHeight="1">
      <c r="B504" s="112"/>
      <c r="C504" s="106"/>
      <c r="D504" s="109"/>
      <c r="E504" s="110"/>
      <c r="F504" s="111"/>
      <c r="G504" s="110"/>
    </row>
    <row r="505" ht="14.25" customHeight="1">
      <c r="B505" s="112"/>
      <c r="C505" s="106"/>
      <c r="D505" s="109"/>
      <c r="E505" s="110"/>
      <c r="F505" s="111"/>
      <c r="G505" s="110"/>
    </row>
    <row r="506" ht="14.25" customHeight="1">
      <c r="B506" s="112"/>
      <c r="C506" s="106"/>
      <c r="D506" s="109"/>
      <c r="E506" s="110"/>
      <c r="F506" s="111"/>
      <c r="G506" s="110"/>
    </row>
    <row r="507" ht="14.25" customHeight="1">
      <c r="B507" s="112"/>
      <c r="C507" s="106"/>
      <c r="D507" s="109"/>
      <c r="E507" s="110"/>
      <c r="F507" s="111"/>
      <c r="G507" s="110"/>
    </row>
    <row r="508" ht="14.25" customHeight="1">
      <c r="B508" s="112"/>
      <c r="C508" s="106"/>
      <c r="D508" s="109"/>
      <c r="E508" s="110"/>
      <c r="F508" s="111"/>
      <c r="G508" s="110"/>
    </row>
    <row r="509" ht="14.25" customHeight="1">
      <c r="B509" s="112"/>
      <c r="C509" s="106"/>
      <c r="D509" s="109"/>
      <c r="E509" s="110"/>
      <c r="F509" s="111"/>
      <c r="G509" s="110"/>
    </row>
    <row r="510" ht="14.25" customHeight="1">
      <c r="B510" s="112"/>
      <c r="C510" s="106"/>
      <c r="D510" s="109"/>
      <c r="E510" s="110"/>
      <c r="F510" s="111"/>
      <c r="G510" s="110"/>
    </row>
    <row r="511" ht="14.25" customHeight="1">
      <c r="B511" s="112"/>
      <c r="C511" s="106"/>
      <c r="D511" s="109"/>
      <c r="E511" s="110"/>
      <c r="F511" s="111"/>
      <c r="G511" s="110"/>
    </row>
    <row r="512" ht="14.25" customHeight="1">
      <c r="B512" s="112"/>
      <c r="C512" s="106"/>
      <c r="D512" s="109"/>
      <c r="E512" s="110"/>
      <c r="F512" s="111"/>
      <c r="G512" s="110"/>
    </row>
    <row r="513" ht="14.25" customHeight="1">
      <c r="B513" s="112"/>
      <c r="C513" s="106"/>
      <c r="D513" s="109"/>
      <c r="E513" s="110"/>
      <c r="F513" s="111"/>
      <c r="G513" s="110"/>
    </row>
    <row r="514" ht="14.25" customHeight="1">
      <c r="B514" s="112"/>
      <c r="C514" s="106"/>
      <c r="D514" s="109"/>
      <c r="E514" s="110"/>
      <c r="F514" s="111"/>
      <c r="G514" s="110"/>
    </row>
    <row r="515" ht="14.25" customHeight="1">
      <c r="B515" s="112"/>
      <c r="C515" s="106"/>
      <c r="D515" s="109"/>
      <c r="E515" s="110"/>
      <c r="F515" s="111"/>
      <c r="G515" s="110"/>
    </row>
    <row r="516" ht="14.25" customHeight="1">
      <c r="B516" s="112"/>
      <c r="C516" s="106"/>
      <c r="D516" s="109"/>
      <c r="E516" s="110"/>
      <c r="F516" s="111"/>
      <c r="G516" s="110"/>
    </row>
    <row r="517" ht="14.25" customHeight="1">
      <c r="B517" s="112"/>
      <c r="C517" s="106"/>
      <c r="D517" s="109"/>
      <c r="E517" s="110"/>
      <c r="F517" s="111"/>
      <c r="G517" s="110"/>
    </row>
    <row r="518" ht="14.25" customHeight="1">
      <c r="B518" s="112"/>
      <c r="C518" s="106"/>
      <c r="D518" s="109"/>
      <c r="E518" s="110"/>
      <c r="F518" s="111"/>
      <c r="G518" s="110"/>
    </row>
    <row r="519" ht="14.25" customHeight="1">
      <c r="B519" s="112"/>
      <c r="C519" s="106"/>
      <c r="D519" s="109"/>
      <c r="E519" s="110"/>
      <c r="F519" s="111"/>
      <c r="G519" s="110"/>
    </row>
    <row r="520" ht="14.25" customHeight="1">
      <c r="B520" s="112"/>
      <c r="C520" s="106"/>
      <c r="D520" s="109"/>
      <c r="E520" s="110"/>
      <c r="F520" s="111"/>
      <c r="G520" s="110"/>
    </row>
    <row r="521" ht="14.25" customHeight="1">
      <c r="B521" s="112"/>
      <c r="C521" s="106"/>
      <c r="D521" s="109"/>
      <c r="E521" s="110"/>
      <c r="F521" s="111"/>
      <c r="G521" s="110"/>
    </row>
    <row r="522" ht="14.25" customHeight="1">
      <c r="B522" s="112"/>
      <c r="C522" s="106"/>
      <c r="D522" s="109"/>
      <c r="E522" s="110"/>
      <c r="F522" s="111"/>
      <c r="G522" s="110"/>
    </row>
    <row r="523" ht="14.25" customHeight="1">
      <c r="B523" s="112"/>
      <c r="C523" s="106"/>
      <c r="D523" s="109"/>
      <c r="E523" s="110"/>
      <c r="F523" s="111"/>
      <c r="G523" s="110"/>
    </row>
    <row r="524" ht="14.25" customHeight="1">
      <c r="B524" s="112"/>
      <c r="C524" s="106"/>
      <c r="D524" s="109"/>
      <c r="E524" s="110"/>
      <c r="F524" s="111"/>
      <c r="G524" s="110"/>
    </row>
    <row r="525" ht="14.25" customHeight="1">
      <c r="B525" s="112"/>
      <c r="C525" s="106"/>
      <c r="D525" s="109"/>
      <c r="E525" s="110"/>
      <c r="F525" s="111"/>
      <c r="G525" s="110"/>
    </row>
    <row r="526" ht="14.25" customHeight="1">
      <c r="B526" s="112"/>
      <c r="C526" s="106"/>
      <c r="D526" s="109"/>
      <c r="E526" s="110"/>
      <c r="F526" s="111"/>
      <c r="G526" s="110"/>
    </row>
    <row r="527" ht="14.25" customHeight="1">
      <c r="B527" s="112"/>
      <c r="C527" s="106"/>
      <c r="D527" s="109"/>
      <c r="E527" s="110"/>
      <c r="F527" s="111"/>
      <c r="G527" s="110"/>
    </row>
    <row r="528" ht="14.25" customHeight="1">
      <c r="B528" s="112"/>
      <c r="C528" s="106"/>
      <c r="D528" s="109"/>
      <c r="E528" s="110"/>
      <c r="F528" s="111"/>
      <c r="G528" s="110"/>
    </row>
    <row r="529" ht="14.25" customHeight="1">
      <c r="B529" s="112"/>
      <c r="C529" s="106"/>
      <c r="D529" s="109"/>
      <c r="E529" s="110"/>
      <c r="F529" s="111"/>
      <c r="G529" s="110"/>
    </row>
    <row r="530" ht="14.25" customHeight="1">
      <c r="B530" s="112"/>
      <c r="C530" s="106"/>
      <c r="D530" s="109"/>
      <c r="E530" s="110"/>
      <c r="F530" s="111"/>
      <c r="G530" s="110"/>
    </row>
    <row r="531" ht="14.25" customHeight="1">
      <c r="B531" s="112"/>
      <c r="C531" s="106"/>
      <c r="D531" s="109"/>
      <c r="E531" s="110"/>
      <c r="F531" s="111"/>
      <c r="G531" s="110"/>
    </row>
    <row r="532" ht="14.25" customHeight="1">
      <c r="B532" s="112"/>
      <c r="C532" s="106"/>
      <c r="D532" s="109"/>
      <c r="E532" s="110"/>
      <c r="F532" s="111"/>
      <c r="G532" s="110"/>
    </row>
    <row r="533" ht="14.25" customHeight="1">
      <c r="B533" s="112"/>
      <c r="C533" s="106"/>
      <c r="D533" s="109"/>
      <c r="E533" s="110"/>
      <c r="F533" s="111"/>
      <c r="G533" s="110"/>
    </row>
    <row r="534" ht="14.25" customHeight="1">
      <c r="B534" s="112"/>
      <c r="C534" s="106"/>
      <c r="D534" s="109"/>
      <c r="E534" s="110"/>
      <c r="F534" s="111"/>
      <c r="G534" s="110"/>
    </row>
    <row r="535" ht="14.25" customHeight="1">
      <c r="B535" s="112"/>
      <c r="C535" s="106"/>
      <c r="D535" s="109"/>
      <c r="E535" s="110"/>
      <c r="F535" s="111"/>
      <c r="G535" s="110"/>
    </row>
    <row r="536" ht="14.25" customHeight="1">
      <c r="B536" s="112"/>
      <c r="C536" s="106"/>
      <c r="D536" s="109"/>
      <c r="E536" s="110"/>
      <c r="F536" s="111"/>
      <c r="G536" s="110"/>
    </row>
    <row r="537" ht="14.25" customHeight="1">
      <c r="B537" s="112"/>
      <c r="C537" s="106"/>
      <c r="D537" s="109"/>
      <c r="E537" s="110"/>
      <c r="F537" s="111"/>
      <c r="G537" s="110"/>
    </row>
    <row r="538" ht="14.25" customHeight="1">
      <c r="B538" s="112"/>
      <c r="C538" s="106"/>
      <c r="D538" s="109"/>
      <c r="E538" s="110"/>
      <c r="F538" s="111"/>
      <c r="G538" s="110"/>
    </row>
    <row r="539" ht="14.25" customHeight="1">
      <c r="B539" s="112"/>
      <c r="C539" s="106"/>
      <c r="D539" s="109"/>
      <c r="E539" s="110"/>
      <c r="F539" s="111"/>
      <c r="G539" s="110"/>
    </row>
    <row r="540" ht="14.25" customHeight="1">
      <c r="B540" s="112"/>
      <c r="C540" s="106"/>
      <c r="D540" s="109"/>
      <c r="E540" s="110"/>
      <c r="F540" s="111"/>
      <c r="G540" s="110"/>
    </row>
    <row r="541" ht="14.25" customHeight="1">
      <c r="B541" s="112"/>
      <c r="C541" s="106"/>
      <c r="D541" s="109"/>
      <c r="E541" s="110"/>
      <c r="F541" s="111"/>
      <c r="G541" s="110"/>
    </row>
    <row r="542" ht="14.25" customHeight="1">
      <c r="B542" s="112"/>
      <c r="C542" s="106"/>
      <c r="D542" s="109"/>
      <c r="E542" s="110"/>
      <c r="F542" s="111"/>
      <c r="G542" s="110"/>
    </row>
    <row r="543" ht="14.25" customHeight="1">
      <c r="B543" s="112"/>
      <c r="C543" s="106"/>
      <c r="D543" s="109"/>
      <c r="E543" s="110"/>
      <c r="F543" s="111"/>
      <c r="G543" s="110"/>
    </row>
    <row r="544" ht="14.25" customHeight="1">
      <c r="B544" s="112"/>
      <c r="C544" s="106"/>
      <c r="D544" s="109"/>
      <c r="E544" s="110"/>
      <c r="F544" s="111"/>
      <c r="G544" s="110"/>
    </row>
    <row r="545" ht="14.25" customHeight="1">
      <c r="B545" s="112"/>
      <c r="C545" s="106"/>
      <c r="D545" s="109"/>
      <c r="E545" s="110"/>
      <c r="F545" s="111"/>
      <c r="G545" s="110"/>
    </row>
    <row r="546" ht="14.25" customHeight="1">
      <c r="B546" s="112"/>
      <c r="C546" s="106"/>
      <c r="D546" s="109"/>
      <c r="E546" s="110"/>
      <c r="F546" s="111"/>
      <c r="G546" s="110"/>
    </row>
    <row r="547" ht="14.25" customHeight="1">
      <c r="B547" s="112"/>
      <c r="C547" s="106"/>
      <c r="D547" s="109"/>
      <c r="E547" s="110"/>
      <c r="F547" s="111"/>
      <c r="G547" s="110"/>
    </row>
    <row r="548" ht="14.25" customHeight="1">
      <c r="B548" s="112"/>
      <c r="C548" s="106"/>
      <c r="D548" s="109"/>
      <c r="E548" s="110"/>
      <c r="F548" s="111"/>
      <c r="G548" s="110"/>
    </row>
    <row r="549" ht="14.25" customHeight="1">
      <c r="B549" s="112"/>
      <c r="C549" s="106"/>
      <c r="D549" s="109"/>
      <c r="E549" s="110"/>
      <c r="F549" s="111"/>
      <c r="G549" s="110"/>
    </row>
    <row r="550" ht="14.25" customHeight="1">
      <c r="B550" s="112"/>
      <c r="C550" s="106"/>
      <c r="D550" s="109"/>
      <c r="E550" s="110"/>
      <c r="F550" s="111"/>
      <c r="G550" s="110"/>
    </row>
    <row r="551" ht="14.25" customHeight="1">
      <c r="B551" s="112"/>
      <c r="C551" s="106"/>
      <c r="D551" s="109"/>
      <c r="E551" s="110"/>
      <c r="F551" s="111"/>
      <c r="G551" s="110"/>
    </row>
    <row r="552" ht="14.25" customHeight="1">
      <c r="B552" s="112"/>
      <c r="C552" s="106"/>
      <c r="D552" s="109"/>
      <c r="E552" s="110"/>
      <c r="F552" s="111"/>
      <c r="G552" s="110"/>
    </row>
    <row r="553" ht="14.25" customHeight="1">
      <c r="B553" s="112"/>
      <c r="C553" s="106"/>
      <c r="D553" s="109"/>
      <c r="E553" s="110"/>
      <c r="F553" s="111"/>
      <c r="G553" s="110"/>
    </row>
    <row r="554" ht="14.25" customHeight="1">
      <c r="B554" s="112"/>
      <c r="C554" s="106"/>
      <c r="D554" s="109"/>
      <c r="E554" s="110"/>
      <c r="F554" s="111"/>
      <c r="G554" s="110"/>
    </row>
    <row r="555" ht="14.25" customHeight="1">
      <c r="B555" s="112"/>
      <c r="C555" s="106"/>
      <c r="D555" s="109"/>
      <c r="E555" s="110"/>
      <c r="F555" s="111"/>
      <c r="G555" s="110"/>
    </row>
    <row r="556" ht="14.25" customHeight="1">
      <c r="B556" s="112"/>
      <c r="C556" s="106"/>
      <c r="D556" s="109"/>
      <c r="E556" s="110"/>
      <c r="F556" s="111"/>
      <c r="G556" s="110"/>
    </row>
    <row r="557" ht="14.25" customHeight="1">
      <c r="B557" s="112"/>
      <c r="C557" s="106"/>
      <c r="D557" s="109"/>
      <c r="E557" s="110"/>
      <c r="F557" s="111"/>
      <c r="G557" s="110"/>
    </row>
    <row r="558" ht="14.25" customHeight="1">
      <c r="B558" s="112"/>
      <c r="C558" s="106"/>
      <c r="D558" s="109"/>
      <c r="E558" s="110"/>
      <c r="F558" s="111"/>
      <c r="G558" s="110"/>
    </row>
    <row r="559" ht="14.25" customHeight="1">
      <c r="B559" s="112"/>
      <c r="C559" s="106"/>
      <c r="D559" s="109"/>
      <c r="E559" s="110"/>
      <c r="F559" s="111"/>
      <c r="G559" s="110"/>
    </row>
    <row r="560" ht="14.25" customHeight="1">
      <c r="B560" s="112"/>
      <c r="C560" s="106"/>
      <c r="D560" s="109"/>
      <c r="E560" s="110"/>
      <c r="F560" s="111"/>
      <c r="G560" s="110"/>
    </row>
    <row r="561" ht="14.25" customHeight="1">
      <c r="B561" s="112"/>
      <c r="C561" s="106"/>
      <c r="D561" s="109"/>
      <c r="E561" s="110"/>
      <c r="F561" s="111"/>
      <c r="G561" s="110"/>
    </row>
    <row r="562" ht="14.25" customHeight="1">
      <c r="B562" s="112"/>
      <c r="C562" s="106"/>
      <c r="D562" s="109"/>
      <c r="E562" s="110"/>
      <c r="F562" s="111"/>
      <c r="G562" s="110"/>
    </row>
    <row r="563" ht="14.25" customHeight="1">
      <c r="B563" s="112"/>
      <c r="C563" s="106"/>
      <c r="D563" s="109"/>
      <c r="E563" s="110"/>
      <c r="F563" s="111"/>
      <c r="G563" s="110"/>
    </row>
    <row r="564" ht="14.25" customHeight="1">
      <c r="B564" s="112"/>
      <c r="C564" s="106"/>
      <c r="D564" s="109"/>
      <c r="E564" s="110"/>
      <c r="F564" s="111"/>
      <c r="G564" s="110"/>
    </row>
    <row r="565" ht="14.25" customHeight="1">
      <c r="B565" s="112"/>
      <c r="C565" s="106"/>
      <c r="D565" s="109"/>
      <c r="E565" s="110"/>
      <c r="F565" s="111"/>
      <c r="G565" s="110"/>
    </row>
    <row r="566" ht="14.25" customHeight="1">
      <c r="B566" s="112"/>
      <c r="C566" s="106"/>
      <c r="D566" s="109"/>
      <c r="E566" s="110"/>
      <c r="F566" s="111"/>
      <c r="G566" s="110"/>
    </row>
    <row r="567" ht="14.25" customHeight="1">
      <c r="B567" s="112"/>
      <c r="C567" s="106"/>
      <c r="D567" s="109"/>
      <c r="E567" s="110"/>
      <c r="F567" s="111"/>
      <c r="G567" s="110"/>
    </row>
    <row r="568" ht="14.25" customHeight="1">
      <c r="B568" s="112"/>
      <c r="C568" s="106"/>
      <c r="D568" s="109"/>
      <c r="E568" s="110"/>
      <c r="F568" s="111"/>
      <c r="G568" s="110"/>
    </row>
    <row r="569" ht="14.25" customHeight="1">
      <c r="B569" s="112"/>
      <c r="C569" s="106"/>
      <c r="D569" s="109"/>
      <c r="E569" s="110"/>
      <c r="F569" s="111"/>
      <c r="G569" s="110"/>
    </row>
    <row r="570" ht="14.25" customHeight="1">
      <c r="B570" s="112"/>
      <c r="C570" s="106"/>
      <c r="D570" s="109"/>
      <c r="E570" s="110"/>
      <c r="F570" s="111"/>
      <c r="G570" s="110"/>
    </row>
    <row r="571" ht="14.25" customHeight="1">
      <c r="B571" s="112"/>
      <c r="C571" s="106"/>
      <c r="D571" s="109"/>
      <c r="E571" s="110"/>
      <c r="F571" s="111"/>
      <c r="G571" s="110"/>
    </row>
    <row r="572" ht="14.25" customHeight="1">
      <c r="B572" s="112"/>
      <c r="C572" s="106"/>
      <c r="D572" s="109"/>
      <c r="E572" s="110"/>
      <c r="F572" s="111"/>
      <c r="G572" s="110"/>
    </row>
    <row r="573" ht="14.25" customHeight="1">
      <c r="B573" s="112"/>
      <c r="C573" s="106"/>
      <c r="D573" s="109"/>
      <c r="E573" s="110"/>
      <c r="F573" s="111"/>
      <c r="G573" s="110"/>
    </row>
    <row r="574" ht="14.25" customHeight="1">
      <c r="B574" s="112"/>
      <c r="C574" s="106"/>
      <c r="D574" s="109"/>
      <c r="E574" s="110"/>
      <c r="F574" s="111"/>
      <c r="G574" s="110"/>
    </row>
    <row r="575" ht="14.25" customHeight="1">
      <c r="B575" s="112"/>
      <c r="C575" s="106"/>
      <c r="D575" s="109"/>
      <c r="E575" s="110"/>
      <c r="F575" s="111"/>
      <c r="G575" s="110"/>
    </row>
    <row r="576" ht="14.25" customHeight="1">
      <c r="B576" s="112"/>
      <c r="C576" s="106"/>
      <c r="D576" s="109"/>
      <c r="E576" s="110"/>
      <c r="F576" s="111"/>
      <c r="G576" s="110"/>
    </row>
    <row r="577" ht="14.25" customHeight="1">
      <c r="B577" s="112"/>
      <c r="C577" s="106"/>
      <c r="D577" s="109"/>
      <c r="E577" s="110"/>
      <c r="F577" s="111"/>
      <c r="G577" s="110"/>
    </row>
    <row r="578" ht="14.25" customHeight="1">
      <c r="B578" s="112"/>
      <c r="C578" s="106"/>
      <c r="D578" s="109"/>
      <c r="E578" s="110"/>
      <c r="F578" s="111"/>
      <c r="G578" s="110"/>
    </row>
    <row r="579" ht="14.25" customHeight="1">
      <c r="B579" s="112"/>
      <c r="C579" s="106"/>
      <c r="D579" s="109"/>
      <c r="E579" s="110"/>
      <c r="F579" s="111"/>
      <c r="G579" s="110"/>
    </row>
    <row r="580" ht="14.25" customHeight="1">
      <c r="B580" s="112"/>
      <c r="C580" s="106"/>
      <c r="D580" s="109"/>
      <c r="E580" s="110"/>
      <c r="F580" s="111"/>
      <c r="G580" s="110"/>
    </row>
    <row r="581" ht="14.25" customHeight="1">
      <c r="B581" s="112"/>
      <c r="C581" s="106"/>
      <c r="D581" s="109"/>
      <c r="E581" s="110"/>
      <c r="F581" s="111"/>
      <c r="G581" s="110"/>
    </row>
    <row r="582" ht="14.25" customHeight="1">
      <c r="B582" s="112"/>
      <c r="C582" s="106"/>
      <c r="D582" s="109"/>
      <c r="E582" s="110"/>
      <c r="F582" s="111"/>
      <c r="G582" s="110"/>
    </row>
    <row r="583" ht="14.25" customHeight="1">
      <c r="B583" s="112"/>
      <c r="C583" s="106"/>
      <c r="D583" s="109"/>
      <c r="E583" s="110"/>
      <c r="F583" s="111"/>
      <c r="G583" s="110"/>
    </row>
    <row r="584" ht="14.25" customHeight="1">
      <c r="B584" s="112"/>
      <c r="C584" s="106"/>
      <c r="D584" s="109"/>
      <c r="E584" s="110"/>
      <c r="F584" s="111"/>
      <c r="G584" s="110"/>
    </row>
    <row r="585" ht="14.25" customHeight="1">
      <c r="B585" s="112"/>
      <c r="C585" s="106"/>
      <c r="D585" s="109"/>
      <c r="E585" s="110"/>
      <c r="F585" s="111"/>
      <c r="G585" s="110"/>
    </row>
    <row r="586" ht="14.25" customHeight="1">
      <c r="B586" s="112"/>
      <c r="C586" s="106"/>
      <c r="D586" s="109"/>
      <c r="E586" s="110"/>
      <c r="F586" s="111"/>
      <c r="G586" s="110"/>
    </row>
    <row r="587" ht="14.25" customHeight="1">
      <c r="B587" s="112"/>
      <c r="C587" s="106"/>
      <c r="D587" s="109"/>
      <c r="E587" s="110"/>
      <c r="F587" s="111"/>
      <c r="G587" s="110"/>
    </row>
    <row r="588" ht="14.25" customHeight="1">
      <c r="B588" s="112"/>
      <c r="C588" s="106"/>
      <c r="D588" s="109"/>
      <c r="E588" s="110"/>
      <c r="F588" s="111"/>
      <c r="G588" s="110"/>
    </row>
    <row r="589" ht="14.25" customHeight="1">
      <c r="B589" s="112"/>
      <c r="C589" s="106"/>
      <c r="D589" s="109"/>
      <c r="E589" s="110"/>
      <c r="F589" s="111"/>
      <c r="G589" s="110"/>
    </row>
    <row r="590" ht="14.25" customHeight="1">
      <c r="B590" s="112"/>
      <c r="C590" s="106"/>
      <c r="D590" s="109"/>
      <c r="E590" s="110"/>
      <c r="F590" s="111"/>
      <c r="G590" s="110"/>
    </row>
    <row r="591" ht="14.25" customHeight="1">
      <c r="B591" s="112"/>
      <c r="C591" s="106"/>
      <c r="D591" s="109"/>
      <c r="E591" s="110"/>
      <c r="F591" s="111"/>
      <c r="G591" s="110"/>
    </row>
    <row r="592" ht="14.25" customHeight="1">
      <c r="B592" s="112"/>
      <c r="C592" s="106"/>
      <c r="D592" s="109"/>
      <c r="E592" s="110"/>
      <c r="F592" s="111"/>
      <c r="G592" s="110"/>
    </row>
    <row r="593" ht="14.25" customHeight="1">
      <c r="B593" s="112"/>
      <c r="C593" s="106"/>
      <c r="D593" s="109"/>
      <c r="E593" s="110"/>
      <c r="F593" s="111"/>
      <c r="G593" s="110"/>
    </row>
    <row r="594" ht="14.25" customHeight="1">
      <c r="B594" s="112"/>
      <c r="C594" s="106"/>
      <c r="D594" s="109"/>
      <c r="E594" s="110"/>
      <c r="F594" s="111"/>
      <c r="G594" s="110"/>
    </row>
    <row r="595" ht="14.25" customHeight="1">
      <c r="B595" s="112"/>
      <c r="C595" s="106"/>
      <c r="D595" s="109"/>
      <c r="E595" s="110"/>
      <c r="F595" s="111"/>
      <c r="G595" s="110"/>
    </row>
    <row r="596" ht="14.25" customHeight="1">
      <c r="B596" s="112"/>
      <c r="C596" s="106"/>
      <c r="D596" s="109"/>
      <c r="E596" s="110"/>
      <c r="F596" s="111"/>
      <c r="G596" s="110"/>
    </row>
    <row r="597" ht="14.25" customHeight="1">
      <c r="B597" s="112"/>
      <c r="C597" s="106"/>
      <c r="D597" s="109"/>
      <c r="E597" s="110"/>
      <c r="F597" s="111"/>
      <c r="G597" s="110"/>
    </row>
    <row r="598" ht="14.25" customHeight="1">
      <c r="B598" s="112"/>
      <c r="C598" s="106"/>
      <c r="D598" s="109"/>
      <c r="E598" s="110"/>
      <c r="F598" s="111"/>
      <c r="G598" s="110"/>
    </row>
    <row r="599" ht="14.25" customHeight="1">
      <c r="B599" s="112"/>
      <c r="C599" s="106"/>
      <c r="D599" s="109"/>
      <c r="E599" s="110"/>
      <c r="F599" s="111"/>
      <c r="G599" s="110"/>
    </row>
    <row r="600" ht="14.25" customHeight="1">
      <c r="B600" s="112"/>
      <c r="C600" s="106"/>
      <c r="D600" s="109"/>
      <c r="E600" s="110"/>
      <c r="F600" s="111"/>
      <c r="G600" s="110"/>
    </row>
    <row r="601" ht="14.25" customHeight="1">
      <c r="B601" s="112"/>
      <c r="C601" s="106"/>
      <c r="D601" s="109"/>
      <c r="E601" s="110"/>
      <c r="F601" s="111"/>
      <c r="G601" s="110"/>
    </row>
    <row r="602" ht="14.25" customHeight="1">
      <c r="B602" s="112"/>
      <c r="C602" s="106"/>
      <c r="D602" s="109"/>
      <c r="E602" s="110"/>
      <c r="F602" s="111"/>
      <c r="G602" s="110"/>
    </row>
    <row r="603" ht="14.25" customHeight="1">
      <c r="B603" s="112"/>
      <c r="C603" s="106"/>
      <c r="D603" s="109"/>
      <c r="E603" s="110"/>
      <c r="F603" s="111"/>
      <c r="G603" s="110"/>
    </row>
    <row r="604" ht="14.25" customHeight="1">
      <c r="B604" s="112"/>
      <c r="C604" s="106"/>
      <c r="D604" s="109"/>
      <c r="E604" s="110"/>
      <c r="F604" s="111"/>
      <c r="G604" s="110"/>
    </row>
    <row r="605" ht="14.25" customHeight="1">
      <c r="B605" s="112"/>
      <c r="C605" s="106"/>
      <c r="D605" s="109"/>
      <c r="E605" s="110"/>
      <c r="F605" s="111"/>
      <c r="G605" s="110"/>
    </row>
    <row r="606" ht="14.25" customHeight="1">
      <c r="B606" s="112"/>
      <c r="C606" s="106"/>
      <c r="D606" s="109"/>
      <c r="E606" s="110"/>
      <c r="F606" s="111"/>
      <c r="G606" s="110"/>
    </row>
    <row r="607" ht="14.25" customHeight="1">
      <c r="B607" s="112"/>
      <c r="C607" s="106"/>
      <c r="D607" s="109"/>
      <c r="E607" s="110"/>
      <c r="F607" s="111"/>
      <c r="G607" s="110"/>
    </row>
    <row r="608" ht="14.25" customHeight="1">
      <c r="B608" s="112"/>
      <c r="C608" s="106"/>
      <c r="D608" s="109"/>
      <c r="E608" s="110"/>
      <c r="F608" s="111"/>
      <c r="G608" s="110"/>
    </row>
    <row r="609" ht="14.25" customHeight="1">
      <c r="B609" s="112"/>
      <c r="C609" s="106"/>
      <c r="D609" s="109"/>
      <c r="E609" s="110"/>
      <c r="F609" s="111"/>
      <c r="G609" s="110"/>
    </row>
    <row r="610" ht="14.25" customHeight="1">
      <c r="B610" s="112"/>
      <c r="C610" s="106"/>
      <c r="D610" s="109"/>
      <c r="E610" s="110"/>
      <c r="F610" s="111"/>
      <c r="G610" s="110"/>
    </row>
    <row r="611" ht="14.25" customHeight="1">
      <c r="B611" s="112"/>
      <c r="C611" s="106"/>
      <c r="D611" s="109"/>
      <c r="E611" s="110"/>
      <c r="F611" s="111"/>
      <c r="G611" s="110"/>
    </row>
    <row r="612" ht="14.25" customHeight="1">
      <c r="B612" s="112"/>
      <c r="C612" s="106"/>
      <c r="D612" s="109"/>
      <c r="E612" s="110"/>
      <c r="F612" s="111"/>
      <c r="G612" s="110"/>
    </row>
    <row r="613" ht="14.25" customHeight="1">
      <c r="B613" s="112"/>
      <c r="C613" s="106"/>
      <c r="D613" s="109"/>
      <c r="E613" s="110"/>
      <c r="F613" s="111"/>
      <c r="G613" s="110"/>
    </row>
    <row r="614" ht="14.25" customHeight="1">
      <c r="B614" s="112"/>
      <c r="C614" s="106"/>
      <c r="D614" s="109"/>
      <c r="E614" s="110"/>
      <c r="F614" s="111"/>
      <c r="G614" s="110"/>
    </row>
    <row r="615" ht="14.25" customHeight="1">
      <c r="B615" s="112"/>
      <c r="C615" s="106"/>
      <c r="D615" s="109"/>
      <c r="E615" s="110"/>
      <c r="F615" s="111"/>
      <c r="G615" s="110"/>
    </row>
    <row r="616" ht="14.25" customHeight="1">
      <c r="B616" s="112"/>
      <c r="C616" s="106"/>
      <c r="D616" s="109"/>
      <c r="E616" s="110"/>
      <c r="F616" s="111"/>
      <c r="G616" s="110"/>
    </row>
    <row r="617" ht="14.25" customHeight="1">
      <c r="B617" s="112"/>
      <c r="C617" s="106"/>
      <c r="D617" s="109"/>
      <c r="E617" s="110"/>
      <c r="F617" s="111"/>
      <c r="G617" s="110"/>
    </row>
    <row r="618" ht="14.25" customHeight="1">
      <c r="B618" s="112"/>
      <c r="C618" s="106"/>
      <c r="D618" s="109"/>
      <c r="E618" s="110"/>
      <c r="F618" s="111"/>
      <c r="G618" s="110"/>
    </row>
    <row r="619" ht="14.25" customHeight="1">
      <c r="B619" s="112"/>
      <c r="C619" s="106"/>
      <c r="D619" s="109"/>
      <c r="E619" s="110"/>
      <c r="F619" s="111"/>
      <c r="G619" s="110"/>
    </row>
    <row r="620" ht="14.25" customHeight="1">
      <c r="B620" s="112"/>
      <c r="C620" s="106"/>
      <c r="D620" s="109"/>
      <c r="E620" s="110"/>
      <c r="F620" s="111"/>
      <c r="G620" s="110"/>
    </row>
    <row r="621" ht="14.25" customHeight="1">
      <c r="B621" s="112"/>
      <c r="C621" s="106"/>
      <c r="D621" s="109"/>
      <c r="E621" s="110"/>
      <c r="F621" s="111"/>
      <c r="G621" s="110"/>
    </row>
    <row r="622" ht="14.25" customHeight="1">
      <c r="B622" s="112"/>
      <c r="C622" s="106"/>
      <c r="D622" s="109"/>
      <c r="E622" s="110"/>
      <c r="F622" s="111"/>
      <c r="G622" s="110"/>
    </row>
    <row r="623" ht="14.25" customHeight="1">
      <c r="B623" s="112"/>
      <c r="C623" s="106"/>
      <c r="D623" s="109"/>
      <c r="E623" s="110"/>
      <c r="F623" s="111"/>
      <c r="G623" s="110"/>
    </row>
    <row r="624" ht="14.25" customHeight="1">
      <c r="B624" s="112"/>
      <c r="C624" s="106"/>
      <c r="D624" s="109"/>
      <c r="E624" s="110"/>
      <c r="F624" s="111"/>
      <c r="G624" s="110"/>
    </row>
    <row r="625" ht="14.25" customHeight="1">
      <c r="B625" s="112"/>
      <c r="C625" s="106"/>
      <c r="D625" s="109"/>
      <c r="E625" s="110"/>
      <c r="F625" s="111"/>
      <c r="G625" s="110"/>
    </row>
    <row r="626" ht="14.25" customHeight="1">
      <c r="B626" s="112"/>
      <c r="C626" s="106"/>
      <c r="D626" s="109"/>
      <c r="E626" s="110"/>
      <c r="F626" s="111"/>
      <c r="G626" s="110"/>
    </row>
    <row r="627" ht="14.25" customHeight="1">
      <c r="B627" s="112"/>
      <c r="C627" s="106"/>
      <c r="D627" s="109"/>
      <c r="E627" s="110"/>
      <c r="F627" s="111"/>
      <c r="G627" s="110"/>
    </row>
    <row r="628" ht="14.25" customHeight="1">
      <c r="B628" s="112"/>
      <c r="C628" s="106"/>
      <c r="D628" s="109"/>
      <c r="E628" s="110"/>
      <c r="F628" s="111"/>
      <c r="G628" s="110"/>
    </row>
    <row r="629" ht="14.25" customHeight="1">
      <c r="B629" s="112"/>
      <c r="C629" s="106"/>
      <c r="D629" s="109"/>
      <c r="E629" s="110"/>
      <c r="F629" s="111"/>
      <c r="G629" s="110"/>
    </row>
    <row r="630" ht="14.25" customHeight="1">
      <c r="B630" s="112"/>
      <c r="C630" s="106"/>
      <c r="D630" s="109"/>
      <c r="E630" s="110"/>
      <c r="F630" s="111"/>
      <c r="G630" s="110"/>
    </row>
    <row r="631" ht="14.25" customHeight="1">
      <c r="B631" s="112"/>
      <c r="C631" s="106"/>
      <c r="D631" s="109"/>
      <c r="E631" s="110"/>
      <c r="F631" s="111"/>
      <c r="G631" s="110"/>
    </row>
    <row r="632" ht="14.25" customHeight="1">
      <c r="B632" s="112"/>
      <c r="C632" s="106"/>
      <c r="D632" s="109"/>
      <c r="E632" s="110"/>
      <c r="F632" s="111"/>
      <c r="G632" s="110"/>
    </row>
    <row r="633" ht="14.25" customHeight="1">
      <c r="B633" s="112"/>
      <c r="C633" s="106"/>
      <c r="D633" s="109"/>
      <c r="E633" s="110"/>
      <c r="F633" s="111"/>
      <c r="G633" s="110"/>
    </row>
    <row r="634" ht="14.25" customHeight="1">
      <c r="B634" s="112"/>
      <c r="C634" s="106"/>
      <c r="D634" s="109"/>
      <c r="E634" s="110"/>
      <c r="F634" s="111"/>
      <c r="G634" s="110"/>
    </row>
    <row r="635" ht="14.25" customHeight="1">
      <c r="B635" s="112"/>
      <c r="C635" s="106"/>
      <c r="D635" s="109"/>
      <c r="E635" s="110"/>
      <c r="F635" s="111"/>
      <c r="G635" s="110"/>
    </row>
    <row r="636" ht="14.25" customHeight="1">
      <c r="B636" s="112"/>
      <c r="C636" s="106"/>
      <c r="D636" s="109"/>
      <c r="E636" s="110"/>
      <c r="F636" s="111"/>
      <c r="G636" s="110"/>
    </row>
    <row r="637" ht="14.25" customHeight="1">
      <c r="B637" s="112"/>
      <c r="C637" s="106"/>
      <c r="D637" s="109"/>
      <c r="E637" s="110"/>
      <c r="F637" s="111"/>
      <c r="G637" s="110"/>
    </row>
    <row r="638" ht="14.25" customHeight="1">
      <c r="B638" s="112"/>
      <c r="C638" s="106"/>
      <c r="D638" s="109"/>
      <c r="E638" s="110"/>
      <c r="F638" s="111"/>
      <c r="G638" s="110"/>
    </row>
    <row r="639" ht="14.25" customHeight="1">
      <c r="B639" s="112"/>
      <c r="C639" s="106"/>
      <c r="D639" s="109"/>
      <c r="E639" s="110"/>
      <c r="F639" s="111"/>
      <c r="G639" s="110"/>
    </row>
    <row r="640" ht="14.25" customHeight="1">
      <c r="B640" s="112"/>
      <c r="C640" s="106"/>
      <c r="D640" s="109"/>
      <c r="E640" s="110"/>
      <c r="F640" s="111"/>
      <c r="G640" s="110"/>
    </row>
    <row r="641" ht="14.25" customHeight="1">
      <c r="B641" s="112"/>
      <c r="C641" s="106"/>
      <c r="D641" s="109"/>
      <c r="E641" s="110"/>
      <c r="F641" s="111"/>
      <c r="G641" s="110"/>
    </row>
    <row r="642" ht="14.25" customHeight="1">
      <c r="B642" s="112"/>
      <c r="C642" s="106"/>
      <c r="D642" s="109"/>
      <c r="E642" s="110"/>
      <c r="F642" s="111"/>
      <c r="G642" s="110"/>
    </row>
    <row r="643" ht="14.25" customHeight="1">
      <c r="B643" s="112"/>
      <c r="C643" s="106"/>
      <c r="D643" s="109"/>
      <c r="E643" s="110"/>
      <c r="F643" s="111"/>
      <c r="G643" s="110"/>
    </row>
    <row r="644" ht="14.25" customHeight="1">
      <c r="B644" s="112"/>
      <c r="C644" s="106"/>
      <c r="D644" s="109"/>
      <c r="E644" s="110"/>
      <c r="F644" s="111"/>
      <c r="G644" s="110"/>
    </row>
    <row r="645" ht="14.25" customHeight="1">
      <c r="B645" s="112"/>
      <c r="C645" s="106"/>
      <c r="D645" s="109"/>
      <c r="E645" s="110"/>
      <c r="F645" s="111"/>
      <c r="G645" s="110"/>
    </row>
    <row r="646" ht="14.25" customHeight="1">
      <c r="B646" s="112"/>
      <c r="C646" s="106"/>
      <c r="D646" s="109"/>
      <c r="E646" s="110"/>
      <c r="F646" s="111"/>
      <c r="G646" s="110"/>
    </row>
    <row r="647" ht="14.25" customHeight="1">
      <c r="B647" s="112"/>
      <c r="C647" s="106"/>
      <c r="D647" s="109"/>
      <c r="E647" s="110"/>
      <c r="F647" s="111"/>
      <c r="G647" s="110"/>
    </row>
    <row r="648" ht="14.25" customHeight="1">
      <c r="B648" s="112"/>
      <c r="C648" s="106"/>
      <c r="D648" s="109"/>
      <c r="E648" s="110"/>
      <c r="F648" s="111"/>
      <c r="G648" s="110"/>
    </row>
    <row r="649" ht="14.25" customHeight="1">
      <c r="B649" s="112"/>
      <c r="C649" s="106"/>
      <c r="D649" s="109"/>
      <c r="E649" s="110"/>
      <c r="F649" s="111"/>
      <c r="G649" s="110"/>
    </row>
    <row r="650" ht="14.25" customHeight="1">
      <c r="B650" s="112"/>
      <c r="C650" s="106"/>
      <c r="D650" s="109"/>
      <c r="E650" s="110"/>
      <c r="F650" s="111"/>
      <c r="G650" s="110"/>
    </row>
    <row r="651" ht="14.25" customHeight="1">
      <c r="B651" s="112"/>
      <c r="C651" s="106"/>
      <c r="D651" s="109"/>
      <c r="E651" s="110"/>
      <c r="F651" s="111"/>
      <c r="G651" s="110"/>
    </row>
    <row r="652" ht="14.25" customHeight="1">
      <c r="B652" s="112"/>
      <c r="C652" s="106"/>
      <c r="D652" s="109"/>
      <c r="E652" s="110"/>
      <c r="F652" s="111"/>
      <c r="G652" s="110"/>
    </row>
    <row r="653" ht="14.25" customHeight="1">
      <c r="B653" s="112"/>
      <c r="C653" s="106"/>
      <c r="D653" s="109"/>
      <c r="E653" s="110"/>
      <c r="F653" s="111"/>
      <c r="G653" s="110"/>
    </row>
    <row r="654" ht="14.25" customHeight="1">
      <c r="B654" s="112"/>
      <c r="C654" s="106"/>
      <c r="D654" s="109"/>
      <c r="E654" s="110"/>
      <c r="F654" s="111"/>
      <c r="G654" s="110"/>
    </row>
    <row r="655" ht="14.25" customHeight="1">
      <c r="B655" s="112"/>
      <c r="C655" s="106"/>
      <c r="D655" s="109"/>
      <c r="E655" s="110"/>
      <c r="F655" s="111"/>
      <c r="G655" s="110"/>
    </row>
    <row r="656" ht="14.25" customHeight="1">
      <c r="B656" s="112"/>
      <c r="C656" s="106"/>
      <c r="D656" s="109"/>
      <c r="E656" s="110"/>
      <c r="F656" s="111"/>
      <c r="G656" s="110"/>
    </row>
    <row r="657" ht="14.25" customHeight="1">
      <c r="B657" s="112"/>
      <c r="C657" s="106"/>
      <c r="D657" s="109"/>
      <c r="E657" s="110"/>
      <c r="F657" s="111"/>
      <c r="G657" s="110"/>
    </row>
    <row r="658" ht="14.25" customHeight="1">
      <c r="B658" s="112"/>
      <c r="C658" s="106"/>
      <c r="D658" s="109"/>
      <c r="E658" s="110"/>
      <c r="F658" s="111"/>
      <c r="G658" s="110"/>
    </row>
    <row r="659" ht="14.25" customHeight="1">
      <c r="B659" s="112"/>
      <c r="C659" s="106"/>
      <c r="D659" s="109"/>
      <c r="E659" s="110"/>
      <c r="F659" s="111"/>
      <c r="G659" s="110"/>
    </row>
    <row r="660" ht="14.25" customHeight="1">
      <c r="B660" s="112"/>
      <c r="C660" s="106"/>
      <c r="D660" s="109"/>
      <c r="E660" s="110"/>
      <c r="F660" s="111"/>
      <c r="G660" s="110"/>
    </row>
    <row r="661" ht="14.25" customHeight="1">
      <c r="B661" s="112"/>
      <c r="C661" s="106"/>
      <c r="D661" s="109"/>
      <c r="E661" s="110"/>
      <c r="F661" s="111"/>
      <c r="G661" s="110"/>
    </row>
    <row r="662" ht="14.25" customHeight="1">
      <c r="B662" s="112"/>
      <c r="C662" s="106"/>
      <c r="D662" s="109"/>
      <c r="E662" s="110"/>
      <c r="F662" s="111"/>
      <c r="G662" s="110"/>
    </row>
    <row r="663" ht="14.25" customHeight="1">
      <c r="B663" s="112"/>
      <c r="C663" s="106"/>
      <c r="D663" s="109"/>
      <c r="E663" s="110"/>
      <c r="F663" s="111"/>
      <c r="G663" s="110"/>
    </row>
    <row r="664" ht="14.25" customHeight="1">
      <c r="B664" s="112"/>
      <c r="C664" s="106"/>
      <c r="D664" s="109"/>
      <c r="E664" s="110"/>
      <c r="F664" s="111"/>
      <c r="G664" s="110"/>
    </row>
    <row r="665" ht="14.25" customHeight="1">
      <c r="B665" s="112"/>
      <c r="C665" s="106"/>
      <c r="D665" s="109"/>
      <c r="E665" s="110"/>
      <c r="F665" s="111"/>
      <c r="G665" s="110"/>
    </row>
    <row r="666" ht="14.25" customHeight="1">
      <c r="B666" s="112"/>
      <c r="C666" s="106"/>
      <c r="D666" s="109"/>
      <c r="E666" s="110"/>
      <c r="F666" s="111"/>
      <c r="G666" s="110"/>
    </row>
    <row r="667" ht="14.25" customHeight="1">
      <c r="B667" s="112"/>
      <c r="C667" s="106"/>
      <c r="D667" s="109"/>
      <c r="E667" s="110"/>
      <c r="F667" s="111"/>
      <c r="G667" s="110"/>
    </row>
    <row r="668" ht="14.25" customHeight="1">
      <c r="B668" s="112"/>
      <c r="C668" s="106"/>
      <c r="D668" s="109"/>
      <c r="E668" s="110"/>
      <c r="F668" s="111"/>
      <c r="G668" s="110"/>
    </row>
    <row r="669" ht="14.25" customHeight="1">
      <c r="B669" s="112"/>
      <c r="C669" s="106"/>
      <c r="D669" s="109"/>
      <c r="E669" s="110"/>
      <c r="F669" s="111"/>
      <c r="G669" s="110"/>
    </row>
    <row r="670" ht="14.25" customHeight="1">
      <c r="B670" s="112"/>
      <c r="C670" s="106"/>
      <c r="D670" s="109"/>
      <c r="E670" s="110"/>
      <c r="F670" s="111"/>
      <c r="G670" s="110"/>
    </row>
    <row r="671" ht="14.25" customHeight="1">
      <c r="B671" s="112"/>
      <c r="C671" s="106"/>
      <c r="D671" s="109"/>
      <c r="E671" s="110"/>
      <c r="F671" s="111"/>
      <c r="G671" s="110"/>
    </row>
    <row r="672" ht="14.25" customHeight="1">
      <c r="B672" s="112"/>
      <c r="C672" s="106"/>
      <c r="D672" s="109"/>
      <c r="E672" s="110"/>
      <c r="F672" s="111"/>
      <c r="G672" s="110"/>
    </row>
    <row r="673" ht="14.25" customHeight="1">
      <c r="B673" s="112"/>
      <c r="C673" s="106"/>
      <c r="D673" s="109"/>
      <c r="E673" s="110"/>
      <c r="F673" s="111"/>
      <c r="G673" s="110"/>
    </row>
    <row r="674" ht="14.25" customHeight="1">
      <c r="B674" s="112"/>
      <c r="C674" s="106"/>
      <c r="D674" s="109"/>
      <c r="E674" s="110"/>
      <c r="F674" s="111"/>
      <c r="G674" s="110"/>
    </row>
    <row r="675" ht="14.25" customHeight="1">
      <c r="B675" s="112"/>
      <c r="C675" s="106"/>
      <c r="D675" s="109"/>
      <c r="E675" s="110"/>
      <c r="F675" s="111"/>
      <c r="G675" s="110"/>
    </row>
    <row r="676" ht="14.25" customHeight="1">
      <c r="B676" s="112"/>
      <c r="C676" s="106"/>
      <c r="D676" s="109"/>
      <c r="E676" s="110"/>
      <c r="F676" s="111"/>
      <c r="G676" s="110"/>
    </row>
    <row r="677" ht="14.25" customHeight="1">
      <c r="B677" s="112"/>
      <c r="C677" s="106"/>
      <c r="D677" s="109"/>
      <c r="E677" s="110"/>
      <c r="F677" s="111"/>
      <c r="G677" s="110"/>
    </row>
    <row r="678" ht="14.25" customHeight="1">
      <c r="B678" s="112"/>
      <c r="C678" s="106"/>
      <c r="D678" s="109"/>
      <c r="E678" s="110"/>
      <c r="F678" s="111"/>
      <c r="G678" s="110"/>
    </row>
    <row r="679" ht="14.25" customHeight="1">
      <c r="B679" s="112"/>
      <c r="C679" s="106"/>
      <c r="D679" s="109"/>
      <c r="E679" s="110"/>
      <c r="F679" s="111"/>
      <c r="G679" s="110"/>
    </row>
    <row r="680" ht="14.25" customHeight="1">
      <c r="B680" s="112"/>
      <c r="C680" s="106"/>
      <c r="D680" s="109"/>
      <c r="E680" s="110"/>
      <c r="F680" s="111"/>
      <c r="G680" s="110"/>
    </row>
    <row r="681" ht="14.25" customHeight="1">
      <c r="B681" s="112"/>
      <c r="C681" s="106"/>
      <c r="D681" s="109"/>
      <c r="E681" s="110"/>
      <c r="F681" s="111"/>
      <c r="G681" s="110"/>
    </row>
    <row r="682" ht="14.25" customHeight="1">
      <c r="B682" s="112"/>
      <c r="C682" s="106"/>
      <c r="D682" s="109"/>
      <c r="E682" s="110"/>
      <c r="F682" s="111"/>
      <c r="G682" s="110"/>
    </row>
    <row r="683" ht="14.25" customHeight="1">
      <c r="B683" s="112"/>
      <c r="C683" s="106"/>
      <c r="D683" s="109"/>
      <c r="E683" s="110"/>
      <c r="F683" s="111"/>
      <c r="G683" s="110"/>
    </row>
    <row r="684" ht="14.25" customHeight="1">
      <c r="B684" s="112"/>
      <c r="C684" s="106"/>
      <c r="D684" s="109"/>
      <c r="E684" s="110"/>
      <c r="F684" s="111"/>
      <c r="G684" s="110"/>
    </row>
    <row r="685" ht="14.25" customHeight="1">
      <c r="B685" s="112"/>
      <c r="C685" s="106"/>
      <c r="D685" s="109"/>
      <c r="E685" s="110"/>
      <c r="F685" s="111"/>
      <c r="G685" s="110"/>
    </row>
    <row r="686" ht="14.25" customHeight="1">
      <c r="B686" s="112"/>
      <c r="C686" s="106"/>
      <c r="D686" s="109"/>
      <c r="E686" s="110"/>
      <c r="F686" s="111"/>
      <c r="G686" s="110"/>
    </row>
    <row r="687" ht="14.25" customHeight="1">
      <c r="B687" s="112"/>
      <c r="C687" s="106"/>
      <c r="D687" s="109"/>
      <c r="E687" s="110"/>
      <c r="F687" s="111"/>
      <c r="G687" s="110"/>
    </row>
    <row r="688" ht="14.25" customHeight="1">
      <c r="B688" s="112"/>
      <c r="C688" s="106"/>
      <c r="D688" s="109"/>
      <c r="E688" s="110"/>
      <c r="F688" s="111"/>
      <c r="G688" s="110"/>
    </row>
    <row r="689" ht="14.25" customHeight="1">
      <c r="B689" s="112"/>
      <c r="C689" s="106"/>
      <c r="D689" s="109"/>
      <c r="E689" s="110"/>
      <c r="F689" s="111"/>
      <c r="G689" s="110"/>
    </row>
    <row r="690" ht="14.25" customHeight="1">
      <c r="B690" s="112"/>
      <c r="C690" s="106"/>
      <c r="D690" s="109"/>
      <c r="E690" s="110"/>
      <c r="F690" s="111"/>
      <c r="G690" s="110"/>
    </row>
    <row r="691" ht="14.25" customHeight="1">
      <c r="B691" s="112"/>
      <c r="C691" s="106"/>
      <c r="D691" s="109"/>
      <c r="E691" s="110"/>
      <c r="F691" s="111"/>
      <c r="G691" s="110"/>
    </row>
    <row r="692" ht="14.25" customHeight="1">
      <c r="B692" s="112"/>
      <c r="C692" s="106"/>
      <c r="D692" s="109"/>
      <c r="E692" s="110"/>
      <c r="F692" s="111"/>
      <c r="G692" s="110"/>
    </row>
    <row r="693" ht="14.25" customHeight="1">
      <c r="B693" s="112"/>
      <c r="C693" s="106"/>
      <c r="D693" s="109"/>
      <c r="E693" s="110"/>
      <c r="F693" s="111"/>
      <c r="G693" s="110"/>
    </row>
    <row r="694" ht="14.25" customHeight="1">
      <c r="B694" s="112"/>
      <c r="C694" s="106"/>
      <c r="D694" s="109"/>
      <c r="E694" s="110"/>
      <c r="F694" s="111"/>
      <c r="G694" s="110"/>
    </row>
    <row r="695" ht="14.25" customHeight="1">
      <c r="B695" s="112"/>
      <c r="C695" s="106"/>
      <c r="D695" s="109"/>
      <c r="E695" s="110"/>
      <c r="F695" s="111"/>
      <c r="G695" s="110"/>
    </row>
    <row r="696" ht="14.25" customHeight="1">
      <c r="B696" s="112"/>
      <c r="C696" s="106"/>
      <c r="D696" s="109"/>
      <c r="E696" s="110"/>
      <c r="F696" s="111"/>
      <c r="G696" s="110"/>
    </row>
    <row r="697" ht="14.25" customHeight="1">
      <c r="B697" s="112"/>
      <c r="C697" s="106"/>
      <c r="D697" s="109"/>
      <c r="E697" s="110"/>
      <c r="F697" s="111"/>
      <c r="G697" s="110"/>
    </row>
    <row r="698" ht="14.25" customHeight="1">
      <c r="B698" s="112"/>
      <c r="C698" s="106"/>
      <c r="D698" s="109"/>
      <c r="E698" s="110"/>
      <c r="F698" s="111"/>
      <c r="G698" s="110"/>
    </row>
    <row r="699" ht="14.25" customHeight="1">
      <c r="B699" s="112"/>
      <c r="C699" s="106"/>
      <c r="D699" s="109"/>
      <c r="E699" s="110"/>
      <c r="F699" s="111"/>
      <c r="G699" s="110"/>
    </row>
    <row r="700" ht="14.25" customHeight="1">
      <c r="B700" s="112"/>
      <c r="C700" s="106"/>
      <c r="D700" s="109"/>
      <c r="E700" s="110"/>
      <c r="F700" s="111"/>
      <c r="G700" s="110"/>
    </row>
    <row r="701" ht="14.25" customHeight="1">
      <c r="B701" s="112"/>
      <c r="C701" s="106"/>
      <c r="D701" s="109"/>
      <c r="E701" s="110"/>
      <c r="F701" s="111"/>
      <c r="G701" s="110"/>
    </row>
    <row r="702" ht="14.25" customHeight="1">
      <c r="B702" s="112"/>
      <c r="C702" s="106"/>
      <c r="D702" s="109"/>
      <c r="E702" s="110"/>
      <c r="F702" s="111"/>
      <c r="G702" s="110"/>
    </row>
    <row r="703" ht="14.25" customHeight="1">
      <c r="B703" s="112"/>
      <c r="C703" s="106"/>
      <c r="D703" s="109"/>
      <c r="E703" s="110"/>
      <c r="F703" s="111"/>
      <c r="G703" s="110"/>
    </row>
    <row r="704" ht="14.25" customHeight="1">
      <c r="B704" s="112"/>
      <c r="C704" s="106"/>
      <c r="D704" s="109"/>
      <c r="E704" s="110"/>
      <c r="F704" s="111"/>
      <c r="G704" s="110"/>
    </row>
    <row r="705" ht="14.25" customHeight="1">
      <c r="B705" s="112"/>
      <c r="C705" s="106"/>
      <c r="D705" s="109"/>
      <c r="E705" s="110"/>
      <c r="F705" s="111"/>
      <c r="G705" s="110"/>
    </row>
    <row r="706" ht="14.25" customHeight="1">
      <c r="B706" s="112"/>
      <c r="C706" s="106"/>
      <c r="D706" s="109"/>
      <c r="E706" s="110"/>
      <c r="F706" s="111"/>
      <c r="G706" s="110"/>
    </row>
    <row r="707" ht="14.25" customHeight="1">
      <c r="B707" s="112"/>
      <c r="C707" s="106"/>
      <c r="D707" s="109"/>
      <c r="E707" s="110"/>
      <c r="F707" s="111"/>
      <c r="G707" s="110"/>
    </row>
    <row r="708" ht="14.25" customHeight="1">
      <c r="B708" s="112"/>
      <c r="C708" s="106"/>
      <c r="D708" s="109"/>
      <c r="E708" s="110"/>
      <c r="F708" s="111"/>
      <c r="G708" s="110"/>
    </row>
    <row r="709" ht="14.25" customHeight="1">
      <c r="B709" s="112"/>
      <c r="C709" s="106"/>
      <c r="D709" s="109"/>
      <c r="E709" s="110"/>
      <c r="F709" s="111"/>
      <c r="G709" s="110"/>
    </row>
    <row r="710" ht="14.25" customHeight="1">
      <c r="B710" s="112"/>
      <c r="C710" s="106"/>
      <c r="D710" s="109"/>
      <c r="E710" s="110"/>
      <c r="F710" s="111"/>
      <c r="G710" s="110"/>
    </row>
    <row r="711" ht="14.25" customHeight="1">
      <c r="B711" s="112"/>
      <c r="C711" s="106"/>
      <c r="D711" s="109"/>
      <c r="E711" s="110"/>
      <c r="F711" s="111"/>
      <c r="G711" s="110"/>
    </row>
    <row r="712" ht="14.25" customHeight="1">
      <c r="B712" s="112"/>
      <c r="C712" s="106"/>
      <c r="D712" s="109"/>
      <c r="E712" s="110"/>
      <c r="F712" s="111"/>
      <c r="G712" s="110"/>
    </row>
    <row r="713" ht="14.25" customHeight="1">
      <c r="B713" s="112"/>
      <c r="C713" s="106"/>
      <c r="D713" s="109"/>
      <c r="E713" s="110"/>
      <c r="F713" s="111"/>
      <c r="G713" s="110"/>
    </row>
    <row r="714" ht="14.25" customHeight="1">
      <c r="B714" s="112"/>
      <c r="C714" s="106"/>
      <c r="D714" s="109"/>
      <c r="E714" s="110"/>
      <c r="F714" s="111"/>
      <c r="G714" s="110"/>
    </row>
    <row r="715" ht="14.25" customHeight="1">
      <c r="B715" s="112"/>
      <c r="C715" s="106"/>
      <c r="D715" s="109"/>
      <c r="E715" s="110"/>
      <c r="F715" s="111"/>
      <c r="G715" s="110"/>
    </row>
    <row r="716" ht="14.25" customHeight="1">
      <c r="B716" s="112"/>
      <c r="C716" s="106"/>
      <c r="D716" s="109"/>
      <c r="E716" s="110"/>
      <c r="F716" s="111"/>
      <c r="G716" s="110"/>
    </row>
    <row r="717" ht="14.25" customHeight="1">
      <c r="B717" s="112"/>
      <c r="C717" s="106"/>
      <c r="D717" s="109"/>
      <c r="E717" s="110"/>
      <c r="F717" s="111"/>
      <c r="G717" s="110"/>
    </row>
    <row r="718" ht="14.25" customHeight="1">
      <c r="B718" s="112"/>
      <c r="C718" s="106"/>
      <c r="D718" s="109"/>
      <c r="E718" s="110"/>
      <c r="F718" s="111"/>
      <c r="G718" s="110"/>
    </row>
    <row r="719" ht="14.25" customHeight="1">
      <c r="B719" s="112"/>
      <c r="C719" s="106"/>
      <c r="D719" s="109"/>
      <c r="E719" s="110"/>
      <c r="F719" s="111"/>
      <c r="G719" s="110"/>
    </row>
    <row r="720" ht="14.25" customHeight="1">
      <c r="B720" s="112"/>
      <c r="C720" s="106"/>
      <c r="D720" s="109"/>
      <c r="E720" s="110"/>
      <c r="F720" s="111"/>
      <c r="G720" s="110"/>
    </row>
    <row r="721" ht="14.25" customHeight="1">
      <c r="B721" s="112"/>
      <c r="C721" s="106"/>
      <c r="D721" s="109"/>
      <c r="E721" s="110"/>
      <c r="F721" s="111"/>
      <c r="G721" s="110"/>
    </row>
    <row r="722" ht="14.25" customHeight="1">
      <c r="B722" s="112"/>
      <c r="C722" s="106"/>
      <c r="D722" s="109"/>
      <c r="E722" s="110"/>
      <c r="F722" s="111"/>
      <c r="G722" s="110"/>
    </row>
    <row r="723" ht="14.25" customHeight="1">
      <c r="B723" s="112"/>
      <c r="C723" s="106"/>
      <c r="D723" s="109"/>
      <c r="E723" s="110"/>
      <c r="F723" s="111"/>
      <c r="G723" s="110"/>
    </row>
    <row r="724" ht="14.25" customHeight="1">
      <c r="B724" s="112"/>
      <c r="C724" s="106"/>
      <c r="D724" s="109"/>
      <c r="E724" s="110"/>
      <c r="F724" s="111"/>
      <c r="G724" s="110"/>
    </row>
    <row r="725" ht="14.25" customHeight="1">
      <c r="B725" s="112"/>
      <c r="C725" s="106"/>
      <c r="D725" s="109"/>
      <c r="E725" s="110"/>
      <c r="F725" s="111"/>
      <c r="G725" s="110"/>
    </row>
    <row r="726" ht="14.25" customHeight="1">
      <c r="B726" s="112"/>
      <c r="C726" s="106"/>
      <c r="D726" s="109"/>
      <c r="E726" s="110"/>
      <c r="F726" s="111"/>
      <c r="G726" s="110"/>
    </row>
    <row r="727" ht="14.25" customHeight="1">
      <c r="B727" s="112"/>
      <c r="C727" s="106"/>
      <c r="D727" s="109"/>
      <c r="E727" s="110"/>
      <c r="F727" s="111"/>
      <c r="G727" s="110"/>
    </row>
    <row r="728" ht="14.25" customHeight="1">
      <c r="B728" s="112"/>
      <c r="C728" s="106"/>
      <c r="D728" s="109"/>
      <c r="E728" s="110"/>
      <c r="F728" s="111"/>
      <c r="G728" s="110"/>
    </row>
    <row r="729" ht="14.25" customHeight="1">
      <c r="B729" s="112"/>
      <c r="C729" s="106"/>
      <c r="D729" s="109"/>
      <c r="E729" s="110"/>
      <c r="F729" s="111"/>
      <c r="G729" s="110"/>
    </row>
    <row r="730" ht="14.25" customHeight="1">
      <c r="B730" s="112"/>
      <c r="C730" s="106"/>
      <c r="D730" s="109"/>
      <c r="E730" s="110"/>
      <c r="F730" s="111"/>
      <c r="G730" s="110"/>
    </row>
    <row r="731" ht="14.25" customHeight="1">
      <c r="B731" s="112"/>
      <c r="C731" s="106"/>
      <c r="D731" s="109"/>
      <c r="E731" s="110"/>
      <c r="F731" s="111"/>
      <c r="G731" s="110"/>
    </row>
    <row r="732" ht="14.25" customHeight="1">
      <c r="B732" s="112"/>
      <c r="C732" s="106"/>
      <c r="D732" s="109"/>
      <c r="E732" s="110"/>
      <c r="F732" s="111"/>
      <c r="G732" s="110"/>
    </row>
    <row r="733" ht="14.25" customHeight="1">
      <c r="B733" s="112"/>
      <c r="C733" s="106"/>
      <c r="D733" s="109"/>
      <c r="E733" s="110"/>
      <c r="F733" s="111"/>
      <c r="G733" s="110"/>
    </row>
    <row r="734" ht="14.25" customHeight="1">
      <c r="B734" s="112"/>
      <c r="C734" s="106"/>
      <c r="D734" s="109"/>
      <c r="E734" s="110"/>
      <c r="F734" s="111"/>
      <c r="G734" s="110"/>
    </row>
    <row r="735" ht="14.25" customHeight="1">
      <c r="B735" s="112"/>
      <c r="C735" s="106"/>
      <c r="D735" s="109"/>
      <c r="E735" s="110"/>
      <c r="F735" s="111"/>
      <c r="G735" s="110"/>
    </row>
    <row r="736" ht="14.25" customHeight="1">
      <c r="B736" s="112"/>
      <c r="C736" s="106"/>
      <c r="D736" s="109"/>
      <c r="E736" s="110"/>
      <c r="F736" s="111"/>
      <c r="G736" s="110"/>
    </row>
    <row r="737" ht="14.25" customHeight="1">
      <c r="B737" s="112"/>
      <c r="C737" s="106"/>
      <c r="D737" s="109"/>
      <c r="E737" s="110"/>
      <c r="F737" s="111"/>
      <c r="G737" s="110"/>
    </row>
    <row r="738" ht="14.25" customHeight="1">
      <c r="B738" s="112"/>
      <c r="C738" s="106"/>
      <c r="D738" s="109"/>
      <c r="E738" s="110"/>
      <c r="F738" s="111"/>
      <c r="G738" s="110"/>
    </row>
    <row r="739" ht="14.25" customHeight="1">
      <c r="B739" s="112"/>
      <c r="C739" s="106"/>
      <c r="D739" s="109"/>
      <c r="E739" s="110"/>
      <c r="F739" s="111"/>
      <c r="G739" s="110"/>
    </row>
    <row r="740" ht="14.25" customHeight="1">
      <c r="B740" s="112"/>
      <c r="C740" s="106"/>
      <c r="D740" s="109"/>
      <c r="E740" s="110"/>
      <c r="F740" s="111"/>
      <c r="G740" s="110"/>
    </row>
    <row r="741" ht="14.25" customHeight="1">
      <c r="B741" s="112"/>
      <c r="C741" s="106"/>
      <c r="D741" s="109"/>
      <c r="E741" s="110"/>
      <c r="F741" s="111"/>
      <c r="G741" s="110"/>
    </row>
    <row r="742" ht="14.25" customHeight="1">
      <c r="B742" s="112"/>
      <c r="C742" s="106"/>
      <c r="D742" s="109"/>
      <c r="E742" s="110"/>
      <c r="F742" s="111"/>
      <c r="G742" s="110"/>
    </row>
    <row r="743" ht="14.25" customHeight="1">
      <c r="B743" s="112"/>
      <c r="C743" s="106"/>
      <c r="D743" s="109"/>
      <c r="E743" s="110"/>
      <c r="F743" s="111"/>
      <c r="G743" s="110"/>
    </row>
    <row r="744" ht="14.25" customHeight="1">
      <c r="B744" s="112"/>
      <c r="C744" s="106"/>
      <c r="D744" s="109"/>
      <c r="E744" s="110"/>
      <c r="F744" s="111"/>
      <c r="G744" s="110"/>
    </row>
    <row r="745" ht="14.25" customHeight="1">
      <c r="B745" s="112"/>
      <c r="C745" s="106"/>
      <c r="D745" s="109"/>
      <c r="E745" s="110"/>
      <c r="F745" s="111"/>
      <c r="G745" s="110"/>
    </row>
    <row r="746" ht="14.25" customHeight="1">
      <c r="B746" s="112"/>
      <c r="C746" s="106"/>
      <c r="D746" s="109"/>
      <c r="E746" s="110"/>
      <c r="F746" s="111"/>
      <c r="G746" s="110"/>
    </row>
    <row r="747" ht="14.25" customHeight="1">
      <c r="B747" s="112"/>
      <c r="C747" s="106"/>
      <c r="D747" s="109"/>
      <c r="E747" s="110"/>
      <c r="F747" s="111"/>
      <c r="G747" s="110"/>
    </row>
    <row r="748" ht="14.25" customHeight="1">
      <c r="B748" s="112"/>
      <c r="C748" s="106"/>
      <c r="D748" s="109"/>
      <c r="E748" s="110"/>
      <c r="F748" s="111"/>
      <c r="G748" s="110"/>
    </row>
    <row r="749" ht="14.25" customHeight="1">
      <c r="B749" s="112"/>
      <c r="C749" s="106"/>
      <c r="D749" s="109"/>
      <c r="E749" s="110"/>
      <c r="F749" s="111"/>
      <c r="G749" s="110"/>
    </row>
    <row r="750" ht="14.25" customHeight="1">
      <c r="B750" s="112"/>
      <c r="C750" s="106"/>
      <c r="D750" s="109"/>
      <c r="E750" s="110"/>
      <c r="F750" s="111"/>
      <c r="G750" s="110"/>
    </row>
    <row r="751" ht="14.25" customHeight="1">
      <c r="B751" s="112"/>
      <c r="C751" s="106"/>
      <c r="D751" s="109"/>
      <c r="E751" s="110"/>
      <c r="F751" s="111"/>
      <c r="G751" s="110"/>
    </row>
    <row r="752" ht="14.25" customHeight="1">
      <c r="B752" s="112"/>
      <c r="C752" s="106"/>
      <c r="D752" s="109"/>
      <c r="E752" s="110"/>
      <c r="F752" s="111"/>
      <c r="G752" s="110"/>
    </row>
    <row r="753" ht="14.25" customHeight="1">
      <c r="B753" s="112"/>
      <c r="C753" s="106"/>
      <c r="D753" s="109"/>
      <c r="E753" s="110"/>
      <c r="F753" s="111"/>
      <c r="G753" s="110"/>
    </row>
    <row r="754" ht="14.25" customHeight="1">
      <c r="B754" s="112"/>
      <c r="C754" s="106"/>
      <c r="D754" s="109"/>
      <c r="E754" s="110"/>
      <c r="F754" s="111"/>
      <c r="G754" s="110"/>
    </row>
    <row r="755" ht="14.25" customHeight="1">
      <c r="B755" s="112"/>
      <c r="C755" s="106"/>
      <c r="D755" s="109"/>
      <c r="E755" s="110"/>
      <c r="F755" s="111"/>
      <c r="G755" s="110"/>
    </row>
    <row r="756" ht="14.25" customHeight="1">
      <c r="B756" s="112"/>
      <c r="C756" s="106"/>
      <c r="D756" s="109"/>
      <c r="E756" s="110"/>
      <c r="F756" s="111"/>
      <c r="G756" s="110"/>
    </row>
    <row r="757" ht="14.25" customHeight="1">
      <c r="B757" s="112"/>
      <c r="C757" s="106"/>
      <c r="D757" s="109"/>
      <c r="E757" s="110"/>
      <c r="F757" s="111"/>
      <c r="G757" s="110"/>
    </row>
    <row r="758" ht="14.25" customHeight="1">
      <c r="B758" s="112"/>
      <c r="C758" s="106"/>
      <c r="D758" s="109"/>
      <c r="E758" s="110"/>
      <c r="F758" s="111"/>
      <c r="G758" s="110"/>
    </row>
    <row r="759" ht="14.25" customHeight="1">
      <c r="B759" s="112"/>
      <c r="C759" s="106"/>
      <c r="D759" s="109"/>
      <c r="E759" s="110"/>
      <c r="F759" s="111"/>
      <c r="G759" s="110"/>
    </row>
    <row r="760" ht="14.25" customHeight="1">
      <c r="B760" s="112"/>
      <c r="C760" s="106"/>
      <c r="D760" s="109"/>
      <c r="E760" s="110"/>
      <c r="F760" s="111"/>
      <c r="G760" s="110"/>
    </row>
    <row r="761" ht="14.25" customHeight="1">
      <c r="B761" s="112"/>
      <c r="C761" s="106"/>
      <c r="D761" s="109"/>
      <c r="E761" s="110"/>
      <c r="F761" s="111"/>
      <c r="G761" s="110"/>
    </row>
    <row r="762" ht="14.25" customHeight="1">
      <c r="B762" s="112"/>
      <c r="C762" s="106"/>
      <c r="D762" s="109"/>
      <c r="E762" s="110"/>
      <c r="F762" s="111"/>
      <c r="G762" s="110"/>
    </row>
    <row r="763" ht="14.25" customHeight="1">
      <c r="B763" s="112"/>
      <c r="C763" s="106"/>
      <c r="D763" s="109"/>
      <c r="E763" s="110"/>
      <c r="F763" s="111"/>
      <c r="G763" s="110"/>
    </row>
    <row r="764" ht="14.25" customHeight="1">
      <c r="B764" s="112"/>
      <c r="C764" s="106"/>
      <c r="D764" s="109"/>
      <c r="E764" s="110"/>
      <c r="F764" s="111"/>
      <c r="G764" s="110"/>
    </row>
    <row r="765" ht="14.25" customHeight="1">
      <c r="B765" s="112"/>
      <c r="C765" s="106"/>
      <c r="D765" s="109"/>
      <c r="E765" s="110"/>
      <c r="F765" s="111"/>
      <c r="G765" s="110"/>
    </row>
    <row r="766" ht="14.25" customHeight="1">
      <c r="B766" s="112"/>
      <c r="C766" s="106"/>
      <c r="D766" s="109"/>
      <c r="E766" s="110"/>
      <c r="F766" s="111"/>
      <c r="G766" s="110"/>
    </row>
    <row r="767" ht="14.25" customHeight="1">
      <c r="B767" s="112"/>
      <c r="C767" s="106"/>
      <c r="D767" s="109"/>
      <c r="E767" s="110"/>
      <c r="F767" s="111"/>
      <c r="G767" s="110"/>
    </row>
    <row r="768" ht="14.25" customHeight="1">
      <c r="B768" s="112"/>
      <c r="C768" s="106"/>
      <c r="D768" s="109"/>
      <c r="E768" s="110"/>
      <c r="F768" s="111"/>
      <c r="G768" s="110"/>
    </row>
    <row r="769" ht="14.25" customHeight="1">
      <c r="B769" s="112"/>
      <c r="C769" s="106"/>
      <c r="D769" s="109"/>
      <c r="E769" s="110"/>
      <c r="F769" s="111"/>
      <c r="G769" s="110"/>
    </row>
    <row r="770" ht="14.25" customHeight="1">
      <c r="B770" s="112"/>
      <c r="C770" s="106"/>
      <c r="D770" s="109"/>
      <c r="E770" s="110"/>
      <c r="F770" s="111"/>
      <c r="G770" s="110"/>
    </row>
    <row r="771" ht="14.25" customHeight="1">
      <c r="B771" s="112"/>
      <c r="C771" s="106"/>
      <c r="D771" s="109"/>
      <c r="E771" s="110"/>
      <c r="F771" s="111"/>
      <c r="G771" s="110"/>
    </row>
    <row r="772" ht="14.25" customHeight="1">
      <c r="B772" s="112"/>
      <c r="C772" s="106"/>
      <c r="D772" s="109"/>
      <c r="E772" s="110"/>
      <c r="F772" s="111"/>
      <c r="G772" s="110"/>
    </row>
    <row r="773" ht="14.25" customHeight="1">
      <c r="B773" s="112"/>
      <c r="C773" s="106"/>
      <c r="D773" s="109"/>
      <c r="E773" s="110"/>
      <c r="F773" s="111"/>
      <c r="G773" s="110"/>
    </row>
    <row r="774" ht="14.25" customHeight="1">
      <c r="B774" s="112"/>
      <c r="C774" s="106"/>
      <c r="D774" s="109"/>
      <c r="E774" s="110"/>
      <c r="F774" s="111"/>
      <c r="G774" s="110"/>
    </row>
    <row r="775" ht="14.25" customHeight="1">
      <c r="B775" s="112"/>
      <c r="C775" s="106"/>
      <c r="D775" s="109"/>
      <c r="E775" s="110"/>
      <c r="F775" s="111"/>
      <c r="G775" s="110"/>
    </row>
    <row r="776" ht="14.25" customHeight="1">
      <c r="B776" s="112"/>
      <c r="C776" s="106"/>
      <c r="D776" s="109"/>
      <c r="E776" s="110"/>
      <c r="F776" s="111"/>
      <c r="G776" s="110"/>
    </row>
    <row r="777" ht="14.25" customHeight="1">
      <c r="B777" s="112"/>
      <c r="C777" s="106"/>
      <c r="D777" s="109"/>
      <c r="E777" s="110"/>
      <c r="F777" s="111"/>
      <c r="G777" s="110"/>
    </row>
    <row r="778" ht="14.25" customHeight="1">
      <c r="B778" s="112"/>
      <c r="C778" s="106"/>
      <c r="D778" s="109"/>
      <c r="E778" s="110"/>
      <c r="F778" s="111"/>
      <c r="G778" s="110"/>
    </row>
    <row r="779" ht="14.25" customHeight="1">
      <c r="B779" s="112"/>
      <c r="C779" s="106"/>
      <c r="D779" s="109"/>
      <c r="E779" s="110"/>
      <c r="F779" s="111"/>
      <c r="G779" s="110"/>
    </row>
    <row r="780" ht="14.25" customHeight="1">
      <c r="B780" s="112"/>
      <c r="C780" s="106"/>
      <c r="D780" s="109"/>
      <c r="E780" s="110"/>
      <c r="F780" s="111"/>
      <c r="G780" s="110"/>
    </row>
    <row r="781" ht="14.25" customHeight="1">
      <c r="B781" s="112"/>
      <c r="C781" s="106"/>
      <c r="D781" s="109"/>
      <c r="E781" s="110"/>
      <c r="F781" s="111"/>
      <c r="G781" s="110"/>
    </row>
    <row r="782" ht="14.25" customHeight="1">
      <c r="B782" s="112"/>
      <c r="C782" s="106"/>
      <c r="D782" s="109"/>
      <c r="E782" s="110"/>
      <c r="F782" s="111"/>
      <c r="G782" s="110"/>
    </row>
    <row r="783" ht="14.25" customHeight="1">
      <c r="B783" s="112"/>
      <c r="C783" s="106"/>
      <c r="D783" s="109"/>
      <c r="E783" s="110"/>
      <c r="F783" s="111"/>
      <c r="G783" s="110"/>
    </row>
    <row r="784" ht="14.25" customHeight="1">
      <c r="B784" s="112"/>
      <c r="C784" s="106"/>
      <c r="D784" s="109"/>
      <c r="E784" s="110"/>
      <c r="F784" s="111"/>
      <c r="G784" s="110"/>
    </row>
    <row r="785" ht="14.25" customHeight="1">
      <c r="B785" s="112"/>
      <c r="C785" s="106"/>
      <c r="D785" s="109"/>
      <c r="E785" s="110"/>
      <c r="F785" s="111"/>
      <c r="G785" s="110"/>
    </row>
    <row r="786" ht="14.25" customHeight="1">
      <c r="B786" s="112"/>
      <c r="C786" s="106"/>
      <c r="D786" s="109"/>
      <c r="E786" s="110"/>
      <c r="F786" s="111"/>
      <c r="G786" s="110"/>
    </row>
    <row r="787" ht="14.25" customHeight="1">
      <c r="B787" s="112"/>
      <c r="C787" s="106"/>
      <c r="D787" s="109"/>
      <c r="E787" s="110"/>
      <c r="F787" s="111"/>
      <c r="G787" s="110"/>
    </row>
    <row r="788" ht="14.25" customHeight="1">
      <c r="B788" s="112"/>
      <c r="C788" s="106"/>
      <c r="D788" s="109"/>
      <c r="E788" s="110"/>
      <c r="F788" s="111"/>
      <c r="G788" s="110"/>
    </row>
    <row r="789" ht="14.25" customHeight="1">
      <c r="B789" s="112"/>
      <c r="C789" s="106"/>
      <c r="D789" s="109"/>
      <c r="E789" s="110"/>
      <c r="F789" s="111"/>
      <c r="G789" s="110"/>
    </row>
    <row r="790" ht="14.25" customHeight="1">
      <c r="B790" s="112"/>
      <c r="C790" s="106"/>
      <c r="D790" s="109"/>
      <c r="E790" s="110"/>
      <c r="F790" s="111"/>
      <c r="G790" s="110"/>
    </row>
    <row r="791" ht="14.25" customHeight="1">
      <c r="B791" s="112"/>
      <c r="C791" s="106"/>
      <c r="D791" s="109"/>
      <c r="E791" s="110"/>
      <c r="F791" s="111"/>
      <c r="G791" s="110"/>
    </row>
    <row r="792" ht="14.25" customHeight="1">
      <c r="B792" s="112"/>
      <c r="C792" s="106"/>
      <c r="D792" s="109"/>
      <c r="E792" s="110"/>
      <c r="F792" s="111"/>
      <c r="G792" s="110"/>
    </row>
    <row r="793" ht="14.25" customHeight="1">
      <c r="B793" s="112"/>
      <c r="C793" s="106"/>
      <c r="D793" s="109"/>
      <c r="E793" s="110"/>
      <c r="F793" s="111"/>
      <c r="G793" s="110"/>
    </row>
    <row r="794" ht="14.25" customHeight="1">
      <c r="B794" s="112"/>
      <c r="C794" s="106"/>
      <c r="D794" s="109"/>
      <c r="E794" s="110"/>
      <c r="F794" s="111"/>
      <c r="G794" s="110"/>
    </row>
    <row r="795" ht="14.25" customHeight="1">
      <c r="B795" s="112"/>
      <c r="C795" s="106"/>
      <c r="D795" s="109"/>
      <c r="E795" s="110"/>
      <c r="F795" s="111"/>
      <c r="G795" s="110"/>
    </row>
    <row r="796" ht="14.25" customHeight="1">
      <c r="B796" s="112"/>
      <c r="C796" s="106"/>
      <c r="D796" s="109"/>
      <c r="E796" s="110"/>
      <c r="F796" s="111"/>
      <c r="G796" s="110"/>
    </row>
    <row r="797" ht="14.25" customHeight="1">
      <c r="B797" s="112"/>
      <c r="C797" s="106"/>
      <c r="D797" s="109"/>
      <c r="E797" s="110"/>
      <c r="F797" s="111"/>
      <c r="G797" s="110"/>
    </row>
    <row r="798" ht="14.25" customHeight="1">
      <c r="B798" s="112"/>
      <c r="C798" s="106"/>
      <c r="D798" s="109"/>
      <c r="E798" s="110"/>
      <c r="F798" s="111"/>
      <c r="G798" s="110"/>
    </row>
    <row r="799" ht="14.25" customHeight="1">
      <c r="B799" s="112"/>
      <c r="C799" s="106"/>
      <c r="D799" s="109"/>
      <c r="E799" s="110"/>
      <c r="F799" s="111"/>
      <c r="G799" s="110"/>
    </row>
    <row r="800" ht="14.25" customHeight="1">
      <c r="B800" s="112"/>
      <c r="C800" s="106"/>
      <c r="D800" s="109"/>
      <c r="E800" s="110"/>
      <c r="F800" s="111"/>
      <c r="G800" s="110"/>
    </row>
    <row r="801" ht="14.25" customHeight="1">
      <c r="B801" s="112"/>
      <c r="C801" s="106"/>
      <c r="D801" s="109"/>
      <c r="E801" s="110"/>
      <c r="F801" s="111"/>
      <c r="G801" s="110"/>
    </row>
    <row r="802" ht="14.25" customHeight="1">
      <c r="B802" s="112"/>
      <c r="C802" s="106"/>
      <c r="D802" s="109"/>
      <c r="E802" s="110"/>
      <c r="F802" s="111"/>
      <c r="G802" s="110"/>
    </row>
    <row r="803" ht="14.25" customHeight="1">
      <c r="B803" s="112"/>
      <c r="C803" s="106"/>
      <c r="D803" s="109"/>
      <c r="E803" s="110"/>
      <c r="F803" s="111"/>
      <c r="G803" s="110"/>
    </row>
    <row r="804" ht="14.25" customHeight="1">
      <c r="B804" s="112"/>
      <c r="C804" s="106"/>
      <c r="D804" s="109"/>
      <c r="E804" s="110"/>
      <c r="F804" s="111"/>
      <c r="G804" s="110"/>
    </row>
    <row r="805" ht="14.25" customHeight="1">
      <c r="B805" s="112"/>
      <c r="C805" s="106"/>
      <c r="D805" s="109"/>
      <c r="E805" s="110"/>
      <c r="F805" s="111"/>
      <c r="G805" s="110"/>
    </row>
    <row r="806" ht="14.25" customHeight="1">
      <c r="B806" s="112"/>
      <c r="C806" s="106"/>
      <c r="D806" s="109"/>
      <c r="E806" s="110"/>
      <c r="F806" s="111"/>
      <c r="G806" s="110"/>
    </row>
    <row r="807" ht="14.25" customHeight="1">
      <c r="B807" s="112"/>
      <c r="C807" s="106"/>
      <c r="D807" s="109"/>
      <c r="E807" s="110"/>
      <c r="F807" s="111"/>
      <c r="G807" s="110"/>
    </row>
    <row r="808" ht="14.25" customHeight="1">
      <c r="B808" s="112"/>
      <c r="C808" s="106"/>
      <c r="D808" s="109"/>
      <c r="E808" s="110"/>
      <c r="F808" s="111"/>
      <c r="G808" s="110"/>
    </row>
    <row r="809" ht="14.25" customHeight="1">
      <c r="B809" s="112"/>
      <c r="C809" s="106"/>
      <c r="D809" s="109"/>
      <c r="E809" s="110"/>
      <c r="F809" s="111"/>
      <c r="G809" s="110"/>
    </row>
    <row r="810" ht="14.25" customHeight="1">
      <c r="B810" s="112"/>
      <c r="C810" s="106"/>
      <c r="D810" s="109"/>
      <c r="E810" s="110"/>
      <c r="F810" s="111"/>
      <c r="G810" s="110"/>
    </row>
    <row r="811" ht="14.25" customHeight="1">
      <c r="B811" s="112"/>
      <c r="C811" s="106"/>
      <c r="D811" s="109"/>
      <c r="E811" s="110"/>
      <c r="F811" s="111"/>
      <c r="G811" s="110"/>
    </row>
    <row r="812" ht="14.25" customHeight="1">
      <c r="B812" s="112"/>
      <c r="C812" s="106"/>
      <c r="D812" s="109"/>
      <c r="E812" s="110"/>
      <c r="F812" s="111"/>
      <c r="G812" s="110"/>
    </row>
    <row r="813" ht="14.25" customHeight="1">
      <c r="B813" s="112"/>
      <c r="C813" s="106"/>
      <c r="D813" s="109"/>
      <c r="E813" s="110"/>
      <c r="F813" s="111"/>
      <c r="G813" s="110"/>
    </row>
    <row r="814" ht="14.25" customHeight="1">
      <c r="B814" s="112"/>
      <c r="C814" s="106"/>
      <c r="D814" s="109"/>
      <c r="E814" s="110"/>
      <c r="F814" s="111"/>
      <c r="G814" s="110"/>
    </row>
    <row r="815" ht="14.25" customHeight="1">
      <c r="B815" s="112"/>
      <c r="C815" s="106"/>
      <c r="D815" s="109"/>
      <c r="E815" s="110"/>
      <c r="F815" s="111"/>
      <c r="G815" s="110"/>
    </row>
    <row r="816" ht="14.25" customHeight="1">
      <c r="B816" s="112"/>
      <c r="C816" s="106"/>
      <c r="D816" s="109"/>
      <c r="E816" s="110"/>
      <c r="F816" s="111"/>
      <c r="G816" s="110"/>
    </row>
    <row r="817" ht="14.25" customHeight="1">
      <c r="B817" s="112"/>
      <c r="C817" s="106"/>
      <c r="D817" s="109"/>
      <c r="E817" s="110"/>
      <c r="F817" s="111"/>
      <c r="G817" s="110"/>
    </row>
    <row r="818" ht="14.25" customHeight="1">
      <c r="B818" s="112"/>
      <c r="C818" s="106"/>
      <c r="D818" s="109"/>
      <c r="E818" s="110"/>
      <c r="F818" s="111"/>
      <c r="G818" s="110"/>
    </row>
    <row r="819" ht="14.25" customHeight="1">
      <c r="B819" s="112"/>
      <c r="C819" s="106"/>
      <c r="D819" s="109"/>
      <c r="E819" s="110"/>
      <c r="F819" s="111"/>
      <c r="G819" s="110"/>
    </row>
    <row r="820" ht="14.25" customHeight="1">
      <c r="B820" s="112"/>
      <c r="C820" s="106"/>
      <c r="D820" s="109"/>
      <c r="E820" s="110"/>
      <c r="F820" s="111"/>
      <c r="G820" s="110"/>
    </row>
    <row r="821" ht="14.25" customHeight="1">
      <c r="B821" s="112"/>
      <c r="C821" s="106"/>
      <c r="D821" s="109"/>
      <c r="E821" s="110"/>
      <c r="F821" s="111"/>
      <c r="G821" s="110"/>
    </row>
    <row r="822" ht="14.25" customHeight="1">
      <c r="B822" s="112"/>
      <c r="C822" s="106"/>
      <c r="D822" s="109"/>
      <c r="E822" s="110"/>
      <c r="F822" s="111"/>
      <c r="G822" s="110"/>
    </row>
    <row r="823" ht="14.25" customHeight="1">
      <c r="B823" s="112"/>
      <c r="C823" s="106"/>
      <c r="D823" s="109"/>
      <c r="E823" s="110"/>
      <c r="F823" s="111"/>
      <c r="G823" s="110"/>
    </row>
    <row r="824" ht="14.25" customHeight="1">
      <c r="B824" s="112"/>
      <c r="C824" s="106"/>
      <c r="D824" s="109"/>
      <c r="E824" s="110"/>
      <c r="F824" s="111"/>
      <c r="G824" s="110"/>
    </row>
    <row r="825" ht="14.25" customHeight="1">
      <c r="B825" s="112"/>
      <c r="C825" s="106"/>
      <c r="D825" s="109"/>
      <c r="E825" s="110"/>
      <c r="F825" s="111"/>
      <c r="G825" s="110"/>
    </row>
    <row r="826" ht="14.25" customHeight="1">
      <c r="B826" s="112"/>
      <c r="C826" s="106"/>
      <c r="D826" s="109"/>
      <c r="E826" s="110"/>
      <c r="F826" s="111"/>
      <c r="G826" s="110"/>
    </row>
    <row r="827" ht="14.25" customHeight="1">
      <c r="B827" s="112"/>
      <c r="C827" s="106"/>
      <c r="D827" s="109"/>
      <c r="E827" s="110"/>
      <c r="F827" s="111"/>
      <c r="G827" s="110"/>
    </row>
    <row r="828" ht="14.25" customHeight="1">
      <c r="B828" s="112"/>
      <c r="C828" s="106"/>
      <c r="D828" s="109"/>
      <c r="E828" s="110"/>
      <c r="F828" s="111"/>
      <c r="G828" s="110"/>
    </row>
    <row r="829" ht="14.25" customHeight="1">
      <c r="B829" s="112"/>
      <c r="C829" s="106"/>
      <c r="D829" s="109"/>
      <c r="E829" s="110"/>
      <c r="F829" s="111"/>
      <c r="G829" s="110"/>
    </row>
    <row r="830" ht="14.25" customHeight="1">
      <c r="B830" s="112"/>
      <c r="C830" s="106"/>
      <c r="D830" s="109"/>
      <c r="E830" s="110"/>
      <c r="F830" s="111"/>
      <c r="G830" s="110"/>
    </row>
    <row r="831" ht="14.25" customHeight="1">
      <c r="B831" s="112"/>
      <c r="C831" s="106"/>
      <c r="D831" s="109"/>
      <c r="E831" s="110"/>
      <c r="F831" s="111"/>
      <c r="G831" s="110"/>
    </row>
    <row r="832" ht="14.25" customHeight="1">
      <c r="B832" s="112"/>
      <c r="C832" s="106"/>
      <c r="D832" s="109"/>
      <c r="E832" s="110"/>
      <c r="F832" s="111"/>
      <c r="G832" s="110"/>
    </row>
    <row r="833" ht="14.25" customHeight="1">
      <c r="B833" s="112"/>
      <c r="C833" s="106"/>
      <c r="D833" s="109"/>
      <c r="E833" s="110"/>
      <c r="F833" s="111"/>
      <c r="G833" s="110"/>
    </row>
    <row r="834" ht="14.25" customHeight="1">
      <c r="B834" s="112"/>
      <c r="C834" s="106"/>
      <c r="D834" s="109"/>
      <c r="E834" s="110"/>
      <c r="F834" s="111"/>
      <c r="G834" s="110"/>
    </row>
    <row r="835" ht="14.25" customHeight="1">
      <c r="B835" s="112"/>
      <c r="C835" s="106"/>
      <c r="D835" s="109"/>
      <c r="E835" s="110"/>
      <c r="F835" s="111"/>
      <c r="G835" s="110"/>
    </row>
    <row r="836" ht="14.25" customHeight="1">
      <c r="B836" s="112"/>
      <c r="C836" s="106"/>
      <c r="D836" s="109"/>
      <c r="E836" s="110"/>
      <c r="F836" s="111"/>
      <c r="G836" s="110"/>
    </row>
    <row r="837" ht="14.25" customHeight="1">
      <c r="B837" s="112"/>
      <c r="C837" s="106"/>
      <c r="D837" s="109"/>
      <c r="E837" s="110"/>
      <c r="F837" s="111"/>
      <c r="G837" s="110"/>
    </row>
    <row r="838" ht="14.25" customHeight="1">
      <c r="B838" s="112"/>
      <c r="C838" s="106"/>
      <c r="D838" s="109"/>
      <c r="E838" s="110"/>
      <c r="F838" s="111"/>
      <c r="G838" s="110"/>
    </row>
    <row r="839" ht="14.25" customHeight="1">
      <c r="B839" s="112"/>
      <c r="C839" s="106"/>
      <c r="D839" s="109"/>
      <c r="E839" s="110"/>
      <c r="F839" s="111"/>
      <c r="G839" s="110"/>
    </row>
    <row r="840" ht="14.25" customHeight="1">
      <c r="B840" s="112"/>
      <c r="C840" s="106"/>
      <c r="D840" s="109"/>
      <c r="E840" s="110"/>
      <c r="F840" s="111"/>
      <c r="G840" s="110"/>
    </row>
    <row r="841" ht="14.25" customHeight="1">
      <c r="B841" s="112"/>
      <c r="C841" s="106"/>
      <c r="D841" s="109"/>
      <c r="E841" s="110"/>
      <c r="F841" s="111"/>
      <c r="G841" s="110"/>
    </row>
    <row r="842" ht="14.25" customHeight="1">
      <c r="B842" s="112"/>
      <c r="C842" s="106"/>
      <c r="D842" s="109"/>
      <c r="E842" s="110"/>
      <c r="F842" s="111"/>
      <c r="G842" s="110"/>
    </row>
    <row r="843" ht="14.25" customHeight="1">
      <c r="B843" s="112"/>
      <c r="C843" s="106"/>
      <c r="D843" s="109"/>
      <c r="E843" s="110"/>
      <c r="F843" s="111"/>
      <c r="G843" s="110"/>
    </row>
    <row r="844" ht="14.25" customHeight="1">
      <c r="B844" s="112"/>
      <c r="C844" s="106"/>
      <c r="D844" s="109"/>
      <c r="E844" s="110"/>
      <c r="F844" s="111"/>
      <c r="G844" s="110"/>
    </row>
    <row r="845" ht="14.25" customHeight="1">
      <c r="B845" s="112"/>
      <c r="C845" s="106"/>
      <c r="D845" s="109"/>
      <c r="E845" s="110"/>
      <c r="F845" s="111"/>
      <c r="G845" s="110"/>
    </row>
    <row r="846" ht="14.25" customHeight="1">
      <c r="B846" s="112"/>
      <c r="C846" s="106"/>
      <c r="D846" s="109"/>
      <c r="E846" s="110"/>
      <c r="F846" s="111"/>
      <c r="G846" s="110"/>
    </row>
    <row r="847" ht="14.25" customHeight="1">
      <c r="B847" s="112"/>
      <c r="C847" s="106"/>
      <c r="D847" s="109"/>
      <c r="E847" s="110"/>
      <c r="F847" s="111"/>
      <c r="G847" s="110"/>
    </row>
    <row r="848" ht="14.25" customHeight="1">
      <c r="B848" s="112"/>
      <c r="C848" s="106"/>
      <c r="D848" s="109"/>
      <c r="E848" s="110"/>
      <c r="F848" s="111"/>
      <c r="G848" s="110"/>
    </row>
    <row r="849" ht="14.25" customHeight="1">
      <c r="B849" s="112"/>
      <c r="C849" s="106"/>
      <c r="D849" s="109"/>
      <c r="E849" s="110"/>
      <c r="F849" s="111"/>
      <c r="G849" s="110"/>
    </row>
    <row r="850" ht="14.25" customHeight="1">
      <c r="B850" s="112"/>
      <c r="C850" s="106"/>
      <c r="D850" s="109"/>
      <c r="E850" s="110"/>
      <c r="F850" s="111"/>
      <c r="G850" s="110"/>
    </row>
    <row r="851" ht="14.25" customHeight="1">
      <c r="B851" s="112"/>
      <c r="C851" s="106"/>
      <c r="D851" s="109"/>
      <c r="E851" s="110"/>
      <c r="F851" s="111"/>
      <c r="G851" s="110"/>
    </row>
    <row r="852" ht="14.25" customHeight="1">
      <c r="B852" s="112"/>
      <c r="C852" s="106"/>
      <c r="D852" s="109"/>
      <c r="E852" s="110"/>
      <c r="F852" s="111"/>
      <c r="G852" s="110"/>
    </row>
    <row r="853" ht="14.25" customHeight="1">
      <c r="B853" s="112"/>
      <c r="C853" s="106"/>
      <c r="D853" s="109"/>
      <c r="E853" s="110"/>
      <c r="F853" s="111"/>
      <c r="G853" s="110"/>
    </row>
    <row r="854" ht="14.25" customHeight="1">
      <c r="B854" s="112"/>
      <c r="C854" s="106"/>
      <c r="D854" s="109"/>
      <c r="E854" s="110"/>
      <c r="F854" s="111"/>
      <c r="G854" s="110"/>
    </row>
    <row r="855" ht="14.25" customHeight="1">
      <c r="B855" s="112"/>
      <c r="C855" s="106"/>
      <c r="D855" s="109"/>
      <c r="E855" s="110"/>
      <c r="F855" s="111"/>
      <c r="G855" s="110"/>
    </row>
    <row r="856" ht="14.25" customHeight="1">
      <c r="B856" s="112"/>
      <c r="C856" s="106"/>
      <c r="D856" s="109"/>
      <c r="E856" s="110"/>
      <c r="F856" s="111"/>
      <c r="G856" s="110"/>
    </row>
    <row r="857" ht="14.25" customHeight="1">
      <c r="B857" s="112"/>
      <c r="C857" s="106"/>
      <c r="D857" s="109"/>
      <c r="E857" s="110"/>
      <c r="F857" s="111"/>
      <c r="G857" s="110"/>
    </row>
    <row r="858" ht="14.25" customHeight="1">
      <c r="B858" s="112"/>
      <c r="C858" s="106"/>
      <c r="D858" s="109"/>
      <c r="E858" s="110"/>
      <c r="F858" s="111"/>
      <c r="G858" s="110"/>
    </row>
    <row r="859" ht="14.25" customHeight="1">
      <c r="B859" s="112"/>
      <c r="C859" s="106"/>
      <c r="D859" s="109"/>
      <c r="E859" s="110"/>
      <c r="F859" s="111"/>
      <c r="G859" s="110"/>
    </row>
    <row r="860" ht="14.25" customHeight="1">
      <c r="B860" s="112"/>
      <c r="C860" s="106"/>
      <c r="D860" s="109"/>
      <c r="E860" s="110"/>
      <c r="F860" s="111"/>
      <c r="G860" s="110"/>
    </row>
    <row r="861" ht="14.25" customHeight="1">
      <c r="B861" s="112"/>
      <c r="C861" s="106"/>
      <c r="D861" s="109"/>
      <c r="E861" s="110"/>
      <c r="F861" s="111"/>
      <c r="G861" s="110"/>
    </row>
    <row r="862" ht="14.25" customHeight="1">
      <c r="B862" s="112"/>
      <c r="C862" s="106"/>
      <c r="D862" s="109"/>
      <c r="E862" s="110"/>
      <c r="F862" s="111"/>
      <c r="G862" s="110"/>
    </row>
    <row r="863" ht="14.25" customHeight="1">
      <c r="B863" s="112"/>
      <c r="C863" s="106"/>
      <c r="D863" s="109"/>
      <c r="E863" s="110"/>
      <c r="F863" s="111"/>
      <c r="G863" s="110"/>
    </row>
    <row r="864" ht="14.25" customHeight="1">
      <c r="B864" s="112"/>
      <c r="C864" s="106"/>
      <c r="D864" s="109"/>
      <c r="E864" s="110"/>
      <c r="F864" s="111"/>
      <c r="G864" s="110"/>
    </row>
    <row r="865" ht="14.25" customHeight="1">
      <c r="B865" s="112"/>
      <c r="C865" s="106"/>
      <c r="D865" s="109"/>
      <c r="E865" s="110"/>
      <c r="F865" s="111"/>
      <c r="G865" s="110"/>
    </row>
    <row r="866" ht="14.25" customHeight="1">
      <c r="B866" s="112"/>
      <c r="C866" s="106"/>
      <c r="D866" s="109"/>
      <c r="E866" s="110"/>
      <c r="F866" s="111"/>
      <c r="G866" s="110"/>
    </row>
    <row r="867" ht="14.25" customHeight="1">
      <c r="B867" s="112"/>
      <c r="C867" s="106"/>
      <c r="D867" s="109"/>
      <c r="E867" s="110"/>
      <c r="F867" s="111"/>
      <c r="G867" s="110"/>
    </row>
    <row r="868" ht="14.25" customHeight="1">
      <c r="B868" s="112"/>
      <c r="C868" s="106"/>
      <c r="D868" s="109"/>
      <c r="E868" s="110"/>
      <c r="F868" s="111"/>
      <c r="G868" s="110"/>
    </row>
    <row r="869" ht="14.25" customHeight="1">
      <c r="B869" s="112"/>
      <c r="C869" s="106"/>
      <c r="D869" s="109"/>
      <c r="E869" s="110"/>
      <c r="F869" s="111"/>
      <c r="G869" s="110"/>
    </row>
    <row r="870" ht="14.25" customHeight="1">
      <c r="B870" s="112"/>
      <c r="C870" s="106"/>
      <c r="D870" s="109"/>
      <c r="E870" s="110"/>
      <c r="F870" s="111"/>
      <c r="G870" s="110"/>
    </row>
    <row r="871" ht="14.25" customHeight="1">
      <c r="B871" s="112"/>
      <c r="C871" s="106"/>
      <c r="D871" s="109"/>
      <c r="E871" s="110"/>
      <c r="F871" s="111"/>
      <c r="G871" s="110"/>
    </row>
    <row r="872" ht="14.25" customHeight="1">
      <c r="B872" s="112"/>
      <c r="C872" s="106"/>
      <c r="D872" s="109"/>
      <c r="E872" s="110"/>
      <c r="F872" s="111"/>
      <c r="G872" s="110"/>
    </row>
    <row r="873" ht="14.25" customHeight="1">
      <c r="B873" s="112"/>
      <c r="C873" s="106"/>
      <c r="D873" s="109"/>
      <c r="E873" s="110"/>
      <c r="F873" s="111"/>
      <c r="G873" s="110"/>
    </row>
    <row r="874" ht="14.25" customHeight="1">
      <c r="B874" s="112"/>
      <c r="C874" s="106"/>
      <c r="D874" s="109"/>
      <c r="E874" s="110"/>
      <c r="F874" s="111"/>
      <c r="G874" s="110"/>
    </row>
    <row r="875" ht="14.25" customHeight="1">
      <c r="B875" s="112"/>
      <c r="C875" s="106"/>
      <c r="D875" s="109"/>
      <c r="E875" s="110"/>
      <c r="F875" s="111"/>
      <c r="G875" s="110"/>
    </row>
    <row r="876" ht="14.25" customHeight="1">
      <c r="B876" s="112"/>
      <c r="C876" s="106"/>
      <c r="D876" s="109"/>
      <c r="E876" s="110"/>
      <c r="F876" s="111"/>
      <c r="G876" s="110"/>
    </row>
    <row r="877" ht="14.25" customHeight="1">
      <c r="B877" s="112"/>
      <c r="C877" s="106"/>
      <c r="D877" s="109"/>
      <c r="E877" s="110"/>
      <c r="F877" s="111"/>
      <c r="G877" s="110"/>
    </row>
    <row r="878" ht="14.25" customHeight="1">
      <c r="B878" s="112"/>
      <c r="C878" s="106"/>
      <c r="D878" s="109"/>
      <c r="E878" s="110"/>
      <c r="F878" s="111"/>
      <c r="G878" s="110"/>
    </row>
    <row r="879" ht="14.25" customHeight="1">
      <c r="B879" s="112"/>
      <c r="C879" s="106"/>
      <c r="D879" s="109"/>
      <c r="E879" s="110"/>
      <c r="F879" s="111"/>
      <c r="G879" s="110"/>
    </row>
    <row r="880" ht="14.25" customHeight="1">
      <c r="B880" s="112"/>
      <c r="C880" s="106"/>
      <c r="D880" s="109"/>
      <c r="E880" s="110"/>
      <c r="F880" s="111"/>
      <c r="G880" s="110"/>
    </row>
    <row r="881" ht="14.25" customHeight="1">
      <c r="B881" s="112"/>
      <c r="C881" s="106"/>
      <c r="D881" s="109"/>
      <c r="E881" s="110"/>
      <c r="F881" s="111"/>
      <c r="G881" s="110"/>
    </row>
    <row r="882" ht="14.25" customHeight="1">
      <c r="B882" s="112"/>
      <c r="C882" s="106"/>
      <c r="D882" s="109"/>
      <c r="E882" s="110"/>
      <c r="F882" s="111"/>
      <c r="G882" s="110"/>
    </row>
    <row r="883" ht="14.25" customHeight="1">
      <c r="B883" s="112"/>
      <c r="C883" s="106"/>
      <c r="D883" s="109"/>
      <c r="E883" s="110"/>
      <c r="F883" s="111"/>
      <c r="G883" s="110"/>
    </row>
    <row r="884" ht="14.25" customHeight="1">
      <c r="B884" s="112"/>
      <c r="C884" s="106"/>
      <c r="D884" s="109"/>
      <c r="E884" s="110"/>
      <c r="F884" s="111"/>
      <c r="G884" s="110"/>
    </row>
    <row r="885" ht="14.25" customHeight="1">
      <c r="B885" s="112"/>
      <c r="C885" s="106"/>
      <c r="D885" s="109"/>
      <c r="E885" s="110"/>
      <c r="F885" s="111"/>
      <c r="G885" s="110"/>
    </row>
    <row r="886" ht="14.25" customHeight="1">
      <c r="B886" s="112"/>
      <c r="C886" s="106"/>
      <c r="D886" s="109"/>
      <c r="E886" s="110"/>
      <c r="F886" s="111"/>
      <c r="G886" s="110"/>
    </row>
    <row r="887" ht="14.25" customHeight="1">
      <c r="B887" s="112"/>
      <c r="C887" s="106"/>
      <c r="D887" s="109"/>
      <c r="E887" s="110"/>
      <c r="F887" s="111"/>
      <c r="G887" s="110"/>
    </row>
    <row r="888" ht="14.25" customHeight="1">
      <c r="B888" s="112"/>
      <c r="C888" s="106"/>
      <c r="D888" s="109"/>
      <c r="E888" s="110"/>
      <c r="F888" s="111"/>
      <c r="G888" s="110"/>
    </row>
    <row r="889" ht="14.25" customHeight="1">
      <c r="B889" s="112"/>
      <c r="C889" s="106"/>
      <c r="D889" s="109"/>
      <c r="E889" s="110"/>
      <c r="F889" s="111"/>
      <c r="G889" s="110"/>
    </row>
    <row r="890" ht="14.25" customHeight="1">
      <c r="B890" s="112"/>
      <c r="C890" s="106"/>
      <c r="D890" s="109"/>
      <c r="E890" s="110"/>
      <c r="F890" s="111"/>
      <c r="G890" s="110"/>
    </row>
    <row r="891" ht="14.25" customHeight="1">
      <c r="B891" s="112"/>
      <c r="C891" s="106"/>
      <c r="D891" s="109"/>
      <c r="E891" s="110"/>
      <c r="F891" s="111"/>
      <c r="G891" s="110"/>
    </row>
    <row r="892" ht="14.25" customHeight="1">
      <c r="B892" s="112"/>
      <c r="C892" s="106"/>
      <c r="D892" s="109"/>
      <c r="E892" s="110"/>
      <c r="F892" s="111"/>
      <c r="G892" s="110"/>
    </row>
    <row r="893" ht="14.25" customHeight="1">
      <c r="B893" s="112"/>
      <c r="C893" s="106"/>
      <c r="D893" s="109"/>
      <c r="E893" s="110"/>
      <c r="F893" s="111"/>
      <c r="G893" s="110"/>
    </row>
    <row r="894" ht="14.25" customHeight="1">
      <c r="B894" s="112"/>
      <c r="C894" s="106"/>
      <c r="D894" s="109"/>
      <c r="E894" s="110"/>
      <c r="F894" s="111"/>
      <c r="G894" s="110"/>
    </row>
    <row r="895" ht="14.25" customHeight="1">
      <c r="B895" s="112"/>
      <c r="C895" s="106"/>
      <c r="D895" s="109"/>
      <c r="E895" s="110"/>
      <c r="F895" s="111"/>
      <c r="G895" s="110"/>
    </row>
    <row r="896" ht="14.25" customHeight="1">
      <c r="B896" s="112"/>
      <c r="C896" s="106"/>
      <c r="D896" s="109"/>
      <c r="E896" s="110"/>
      <c r="F896" s="111"/>
      <c r="G896" s="110"/>
    </row>
    <row r="897" ht="14.25" customHeight="1">
      <c r="B897" s="112"/>
      <c r="C897" s="106"/>
      <c r="D897" s="109"/>
      <c r="E897" s="110"/>
      <c r="F897" s="111"/>
      <c r="G897" s="110"/>
    </row>
    <row r="898" ht="14.25" customHeight="1">
      <c r="B898" s="112"/>
      <c r="C898" s="106"/>
      <c r="D898" s="109"/>
      <c r="E898" s="110"/>
      <c r="F898" s="111"/>
      <c r="G898" s="110"/>
    </row>
    <row r="899" ht="14.25" customHeight="1">
      <c r="B899" s="112"/>
      <c r="C899" s="106"/>
      <c r="D899" s="109"/>
      <c r="E899" s="110"/>
      <c r="F899" s="111"/>
      <c r="G899" s="110"/>
    </row>
    <row r="900" ht="14.25" customHeight="1">
      <c r="B900" s="112"/>
      <c r="C900" s="106"/>
      <c r="D900" s="109"/>
      <c r="E900" s="110"/>
      <c r="F900" s="111"/>
      <c r="G900" s="110"/>
    </row>
    <row r="901" ht="14.25" customHeight="1">
      <c r="B901" s="112"/>
      <c r="C901" s="106"/>
      <c r="D901" s="109"/>
      <c r="E901" s="110"/>
      <c r="F901" s="111"/>
      <c r="G901" s="110"/>
    </row>
    <row r="902" ht="14.25" customHeight="1">
      <c r="B902" s="112"/>
      <c r="C902" s="106"/>
      <c r="D902" s="109"/>
      <c r="E902" s="110"/>
      <c r="F902" s="111"/>
      <c r="G902" s="110"/>
    </row>
    <row r="903" ht="14.25" customHeight="1">
      <c r="B903" s="112"/>
      <c r="C903" s="106"/>
      <c r="D903" s="109"/>
      <c r="E903" s="110"/>
      <c r="F903" s="111"/>
      <c r="G903" s="110"/>
    </row>
    <row r="904" ht="14.25" customHeight="1">
      <c r="B904" s="112"/>
      <c r="C904" s="106"/>
      <c r="D904" s="109"/>
      <c r="E904" s="110"/>
      <c r="F904" s="111"/>
      <c r="G904" s="110"/>
    </row>
    <row r="905" ht="14.25" customHeight="1">
      <c r="B905" s="112"/>
      <c r="C905" s="106"/>
      <c r="D905" s="109"/>
      <c r="E905" s="110"/>
      <c r="F905" s="111"/>
      <c r="G905" s="110"/>
    </row>
    <row r="906" ht="14.25" customHeight="1">
      <c r="B906" s="112"/>
      <c r="C906" s="106"/>
      <c r="D906" s="109"/>
      <c r="E906" s="110"/>
      <c r="F906" s="111"/>
      <c r="G906" s="110"/>
    </row>
    <row r="907" ht="14.25" customHeight="1">
      <c r="B907" s="112"/>
      <c r="C907" s="106"/>
      <c r="D907" s="109"/>
      <c r="E907" s="110"/>
      <c r="F907" s="111"/>
      <c r="G907" s="110"/>
    </row>
    <row r="908" ht="14.25" customHeight="1">
      <c r="B908" s="112"/>
      <c r="C908" s="106"/>
      <c r="D908" s="109"/>
      <c r="E908" s="110"/>
      <c r="F908" s="111"/>
      <c r="G908" s="110"/>
    </row>
    <row r="909" ht="14.25" customHeight="1">
      <c r="B909" s="112"/>
      <c r="C909" s="106"/>
      <c r="D909" s="109"/>
      <c r="E909" s="110"/>
      <c r="F909" s="111"/>
      <c r="G909" s="110"/>
    </row>
    <row r="910" ht="14.25" customHeight="1">
      <c r="B910" s="112"/>
      <c r="C910" s="106"/>
      <c r="D910" s="109"/>
      <c r="E910" s="110"/>
      <c r="F910" s="111"/>
      <c r="G910" s="110"/>
    </row>
    <row r="911" ht="14.25" customHeight="1">
      <c r="B911" s="112"/>
      <c r="C911" s="106"/>
      <c r="D911" s="109"/>
      <c r="E911" s="110"/>
      <c r="F911" s="111"/>
      <c r="G911" s="110"/>
    </row>
    <row r="912" ht="14.25" customHeight="1">
      <c r="B912" s="112"/>
      <c r="C912" s="106"/>
      <c r="D912" s="109"/>
      <c r="E912" s="110"/>
      <c r="F912" s="111"/>
      <c r="G912" s="110"/>
    </row>
    <row r="913" ht="14.25" customHeight="1">
      <c r="B913" s="112"/>
      <c r="C913" s="106"/>
      <c r="D913" s="109"/>
      <c r="E913" s="110"/>
      <c r="F913" s="111"/>
      <c r="G913" s="110"/>
    </row>
    <row r="914" ht="14.25" customHeight="1">
      <c r="B914" s="112"/>
      <c r="C914" s="106"/>
      <c r="D914" s="109"/>
      <c r="E914" s="110"/>
      <c r="F914" s="111"/>
      <c r="G914" s="110"/>
    </row>
    <row r="915" ht="14.25" customHeight="1">
      <c r="B915" s="112"/>
      <c r="C915" s="106"/>
      <c r="D915" s="109"/>
      <c r="E915" s="110"/>
      <c r="F915" s="111"/>
      <c r="G915" s="110"/>
    </row>
    <row r="916" ht="14.25" customHeight="1">
      <c r="B916" s="112"/>
      <c r="C916" s="106"/>
      <c r="D916" s="109"/>
      <c r="E916" s="110"/>
      <c r="F916" s="111"/>
      <c r="G916" s="110"/>
    </row>
    <row r="917" ht="14.25" customHeight="1">
      <c r="B917" s="112"/>
      <c r="C917" s="106"/>
      <c r="D917" s="109"/>
      <c r="E917" s="110"/>
      <c r="F917" s="111"/>
      <c r="G917" s="110"/>
    </row>
    <row r="918" ht="14.25" customHeight="1">
      <c r="B918" s="112"/>
      <c r="C918" s="106"/>
      <c r="D918" s="109"/>
      <c r="E918" s="110"/>
      <c r="F918" s="111"/>
      <c r="G918" s="110"/>
    </row>
    <row r="919" ht="14.25" customHeight="1">
      <c r="B919" s="112"/>
      <c r="C919" s="106"/>
      <c r="D919" s="109"/>
      <c r="E919" s="110"/>
      <c r="F919" s="111"/>
      <c r="G919" s="110"/>
    </row>
    <row r="920" ht="14.25" customHeight="1">
      <c r="B920" s="112"/>
      <c r="C920" s="106"/>
      <c r="D920" s="109"/>
      <c r="E920" s="110"/>
      <c r="F920" s="111"/>
      <c r="G920" s="110"/>
    </row>
    <row r="921" ht="14.25" customHeight="1">
      <c r="B921" s="112"/>
      <c r="C921" s="106"/>
      <c r="D921" s="109"/>
      <c r="E921" s="110"/>
      <c r="F921" s="111"/>
      <c r="G921" s="110"/>
    </row>
    <row r="922" ht="14.25" customHeight="1">
      <c r="B922" s="112"/>
      <c r="C922" s="106"/>
      <c r="D922" s="109"/>
      <c r="E922" s="110"/>
      <c r="F922" s="111"/>
      <c r="G922" s="110"/>
    </row>
    <row r="923" ht="14.25" customHeight="1">
      <c r="B923" s="112"/>
      <c r="C923" s="106"/>
      <c r="D923" s="109"/>
      <c r="E923" s="110"/>
      <c r="F923" s="111"/>
      <c r="G923" s="110"/>
    </row>
    <row r="924" ht="14.25" customHeight="1">
      <c r="B924" s="112"/>
      <c r="C924" s="106"/>
      <c r="D924" s="109"/>
      <c r="E924" s="110"/>
      <c r="F924" s="111"/>
      <c r="G924" s="110"/>
    </row>
    <row r="925" ht="14.25" customHeight="1">
      <c r="B925" s="112"/>
      <c r="C925" s="106"/>
      <c r="D925" s="109"/>
      <c r="E925" s="110"/>
      <c r="F925" s="111"/>
      <c r="G925" s="110"/>
    </row>
    <row r="926" ht="14.25" customHeight="1">
      <c r="B926" s="112"/>
      <c r="C926" s="106"/>
      <c r="D926" s="109"/>
      <c r="E926" s="110"/>
      <c r="F926" s="111"/>
      <c r="G926" s="110"/>
    </row>
    <row r="927" ht="14.25" customHeight="1">
      <c r="B927" s="112"/>
      <c r="C927" s="106"/>
      <c r="D927" s="109"/>
      <c r="E927" s="110"/>
      <c r="F927" s="111"/>
      <c r="G927" s="110"/>
    </row>
    <row r="928" ht="14.25" customHeight="1">
      <c r="B928" s="112"/>
      <c r="C928" s="106"/>
      <c r="D928" s="109"/>
      <c r="E928" s="110"/>
      <c r="F928" s="111"/>
      <c r="G928" s="110"/>
    </row>
    <row r="929" ht="14.25" customHeight="1">
      <c r="B929" s="112"/>
      <c r="C929" s="106"/>
      <c r="D929" s="109"/>
      <c r="E929" s="110"/>
      <c r="F929" s="111"/>
      <c r="G929" s="110"/>
    </row>
    <row r="930" ht="14.25" customHeight="1">
      <c r="B930" s="112"/>
      <c r="C930" s="106"/>
      <c r="D930" s="109"/>
      <c r="E930" s="110"/>
      <c r="F930" s="111"/>
      <c r="G930" s="110"/>
    </row>
    <row r="931" ht="14.25" customHeight="1">
      <c r="B931" s="112"/>
      <c r="C931" s="106"/>
      <c r="D931" s="109"/>
      <c r="E931" s="110"/>
      <c r="F931" s="111"/>
      <c r="G931" s="110"/>
    </row>
    <row r="932" ht="14.25" customHeight="1">
      <c r="B932" s="112"/>
      <c r="C932" s="106"/>
      <c r="D932" s="109"/>
      <c r="E932" s="110"/>
      <c r="F932" s="111"/>
      <c r="G932" s="110"/>
    </row>
    <row r="933" ht="14.25" customHeight="1">
      <c r="B933" s="112"/>
      <c r="C933" s="106"/>
      <c r="D933" s="109"/>
      <c r="E933" s="110"/>
      <c r="F933" s="111"/>
      <c r="G933" s="110"/>
    </row>
    <row r="934" ht="14.25" customHeight="1">
      <c r="B934" s="112"/>
      <c r="C934" s="106"/>
      <c r="D934" s="109"/>
      <c r="E934" s="110"/>
      <c r="F934" s="111"/>
      <c r="G934" s="110"/>
    </row>
    <row r="935" ht="14.25" customHeight="1">
      <c r="B935" s="112"/>
      <c r="C935" s="106"/>
      <c r="D935" s="109"/>
      <c r="E935" s="110"/>
      <c r="F935" s="111"/>
      <c r="G935" s="110"/>
    </row>
    <row r="936" ht="14.25" customHeight="1">
      <c r="B936" s="112"/>
      <c r="C936" s="106"/>
      <c r="D936" s="109"/>
      <c r="E936" s="110"/>
      <c r="F936" s="111"/>
      <c r="G936" s="110"/>
    </row>
    <row r="937" ht="14.25" customHeight="1">
      <c r="B937" s="112"/>
      <c r="C937" s="106"/>
      <c r="D937" s="109"/>
      <c r="E937" s="110"/>
      <c r="F937" s="111"/>
      <c r="G937" s="110"/>
    </row>
    <row r="938" ht="14.25" customHeight="1">
      <c r="B938" s="112"/>
      <c r="C938" s="106"/>
      <c r="D938" s="109"/>
      <c r="E938" s="110"/>
      <c r="F938" s="111"/>
      <c r="G938" s="110"/>
    </row>
    <row r="939" ht="14.25" customHeight="1">
      <c r="B939" s="112"/>
      <c r="C939" s="106"/>
      <c r="D939" s="109"/>
      <c r="E939" s="110"/>
      <c r="F939" s="111"/>
      <c r="G939" s="110"/>
    </row>
    <row r="940" ht="14.25" customHeight="1">
      <c r="B940" s="112"/>
      <c r="C940" s="106"/>
      <c r="D940" s="109"/>
      <c r="E940" s="110"/>
      <c r="F940" s="111"/>
      <c r="G940" s="110"/>
    </row>
    <row r="941" ht="14.25" customHeight="1">
      <c r="B941" s="112"/>
      <c r="C941" s="106"/>
      <c r="D941" s="109"/>
      <c r="E941" s="110"/>
      <c r="F941" s="111"/>
      <c r="G941" s="110"/>
    </row>
    <row r="942" ht="14.25" customHeight="1">
      <c r="B942" s="112"/>
      <c r="C942" s="106"/>
      <c r="D942" s="109"/>
      <c r="E942" s="110"/>
      <c r="F942" s="111"/>
      <c r="G942" s="110"/>
    </row>
    <row r="943" ht="14.25" customHeight="1">
      <c r="B943" s="112"/>
      <c r="C943" s="106"/>
      <c r="D943" s="109"/>
      <c r="E943" s="110"/>
      <c r="F943" s="111"/>
      <c r="G943" s="110"/>
    </row>
    <row r="944" ht="14.25" customHeight="1">
      <c r="B944" s="112"/>
      <c r="C944" s="106"/>
      <c r="D944" s="109"/>
      <c r="E944" s="110"/>
      <c r="F944" s="111"/>
      <c r="G944" s="110"/>
    </row>
    <row r="945" ht="14.25" customHeight="1">
      <c r="B945" s="112"/>
      <c r="C945" s="106"/>
      <c r="D945" s="109"/>
      <c r="E945" s="110"/>
      <c r="F945" s="111"/>
      <c r="G945" s="110"/>
    </row>
    <row r="946" ht="14.25" customHeight="1">
      <c r="B946" s="112"/>
      <c r="C946" s="106"/>
      <c r="D946" s="109"/>
      <c r="E946" s="110"/>
      <c r="F946" s="111"/>
      <c r="G946" s="110"/>
    </row>
    <row r="947" ht="14.25" customHeight="1">
      <c r="B947" s="112"/>
      <c r="C947" s="106"/>
      <c r="D947" s="109"/>
      <c r="E947" s="110"/>
      <c r="F947" s="111"/>
      <c r="G947" s="110"/>
    </row>
    <row r="948" ht="14.25" customHeight="1">
      <c r="B948" s="112"/>
      <c r="C948" s="106"/>
      <c r="D948" s="109"/>
      <c r="E948" s="110"/>
      <c r="F948" s="111"/>
      <c r="G948" s="110"/>
    </row>
    <row r="949" ht="14.25" customHeight="1">
      <c r="B949" s="112"/>
      <c r="C949" s="106"/>
      <c r="D949" s="109"/>
      <c r="E949" s="110"/>
      <c r="F949" s="111"/>
      <c r="G949" s="110"/>
    </row>
    <row r="950" ht="14.25" customHeight="1">
      <c r="B950" s="112"/>
      <c r="C950" s="106"/>
      <c r="D950" s="109"/>
      <c r="E950" s="110"/>
      <c r="F950" s="111"/>
      <c r="G950" s="110"/>
    </row>
    <row r="951" ht="14.25" customHeight="1">
      <c r="B951" s="112"/>
      <c r="C951" s="106"/>
      <c r="D951" s="109"/>
      <c r="E951" s="110"/>
      <c r="F951" s="111"/>
      <c r="G951" s="110"/>
    </row>
    <row r="952" ht="14.25" customHeight="1">
      <c r="B952" s="112"/>
      <c r="C952" s="106"/>
      <c r="D952" s="109"/>
      <c r="E952" s="110"/>
      <c r="F952" s="111"/>
      <c r="G952" s="110"/>
    </row>
    <row r="953" ht="14.25" customHeight="1">
      <c r="B953" s="112"/>
      <c r="C953" s="106"/>
      <c r="D953" s="109"/>
      <c r="E953" s="110"/>
      <c r="F953" s="111"/>
      <c r="G953" s="110"/>
    </row>
    <row r="954" ht="14.25" customHeight="1">
      <c r="B954" s="112"/>
      <c r="C954" s="106"/>
      <c r="D954" s="109"/>
      <c r="E954" s="110"/>
      <c r="F954" s="111"/>
      <c r="G954" s="110"/>
    </row>
    <row r="955" ht="14.25" customHeight="1">
      <c r="B955" s="112"/>
      <c r="C955" s="106"/>
      <c r="D955" s="109"/>
      <c r="E955" s="110"/>
      <c r="F955" s="111"/>
      <c r="G955" s="110"/>
    </row>
    <row r="956" ht="14.25" customHeight="1">
      <c r="B956" s="112"/>
      <c r="C956" s="106"/>
      <c r="D956" s="109"/>
      <c r="E956" s="110"/>
      <c r="F956" s="111"/>
      <c r="G956" s="110"/>
    </row>
    <row r="957" ht="14.25" customHeight="1">
      <c r="B957" s="112"/>
      <c r="C957" s="106"/>
      <c r="D957" s="109"/>
      <c r="E957" s="110"/>
      <c r="F957" s="111"/>
      <c r="G957" s="110"/>
    </row>
    <row r="958" ht="14.25" customHeight="1">
      <c r="B958" s="112"/>
      <c r="C958" s="106"/>
      <c r="D958" s="109"/>
      <c r="E958" s="110"/>
      <c r="F958" s="111"/>
      <c r="G958" s="110"/>
    </row>
    <row r="959" ht="14.25" customHeight="1">
      <c r="B959" s="112"/>
      <c r="C959" s="106"/>
      <c r="D959" s="109"/>
      <c r="E959" s="110"/>
      <c r="F959" s="111"/>
      <c r="G959" s="110"/>
    </row>
    <row r="960" ht="14.25" customHeight="1">
      <c r="B960" s="112"/>
      <c r="C960" s="106"/>
      <c r="D960" s="109"/>
      <c r="E960" s="110"/>
      <c r="F960" s="111"/>
      <c r="G960" s="110"/>
    </row>
    <row r="961" ht="14.25" customHeight="1">
      <c r="B961" s="112"/>
      <c r="C961" s="106"/>
      <c r="D961" s="109"/>
      <c r="E961" s="110"/>
      <c r="F961" s="111"/>
      <c r="G961" s="110"/>
    </row>
    <row r="962" ht="14.25" customHeight="1">
      <c r="B962" s="112"/>
      <c r="C962" s="106"/>
      <c r="D962" s="109"/>
      <c r="E962" s="110"/>
      <c r="F962" s="111"/>
      <c r="G962" s="110"/>
    </row>
    <row r="963" ht="14.25" customHeight="1">
      <c r="B963" s="112"/>
      <c r="C963" s="106"/>
      <c r="D963" s="109"/>
      <c r="E963" s="110"/>
      <c r="F963" s="111"/>
      <c r="G963" s="110"/>
    </row>
    <row r="964" ht="14.25" customHeight="1">
      <c r="B964" s="112"/>
      <c r="C964" s="106"/>
      <c r="D964" s="109"/>
      <c r="E964" s="110"/>
      <c r="F964" s="111"/>
      <c r="G964" s="110"/>
    </row>
    <row r="965" ht="14.25" customHeight="1">
      <c r="B965" s="112"/>
      <c r="C965" s="106"/>
      <c r="D965" s="109"/>
      <c r="E965" s="110"/>
      <c r="F965" s="111"/>
      <c r="G965" s="110"/>
    </row>
    <row r="966" ht="14.25" customHeight="1">
      <c r="B966" s="112"/>
      <c r="C966" s="106"/>
      <c r="D966" s="109"/>
      <c r="E966" s="110"/>
      <c r="F966" s="111"/>
      <c r="G966" s="110"/>
    </row>
    <row r="967" ht="14.25" customHeight="1">
      <c r="B967" s="112"/>
      <c r="C967" s="106"/>
      <c r="D967" s="109"/>
      <c r="E967" s="110"/>
      <c r="F967" s="111"/>
      <c r="G967" s="110"/>
    </row>
    <row r="968" ht="14.25" customHeight="1">
      <c r="B968" s="112"/>
      <c r="C968" s="106"/>
      <c r="D968" s="109"/>
      <c r="E968" s="110"/>
      <c r="F968" s="111"/>
      <c r="G968" s="110"/>
    </row>
    <row r="969" ht="14.25" customHeight="1">
      <c r="B969" s="112"/>
      <c r="C969" s="106"/>
      <c r="D969" s="109"/>
      <c r="E969" s="110"/>
      <c r="F969" s="111"/>
      <c r="G969" s="110"/>
    </row>
    <row r="970" ht="14.25" customHeight="1">
      <c r="B970" s="112"/>
      <c r="C970" s="106"/>
      <c r="D970" s="109"/>
      <c r="E970" s="110"/>
      <c r="F970" s="111"/>
      <c r="G970" s="110"/>
    </row>
    <row r="971" ht="14.25" customHeight="1">
      <c r="B971" s="112"/>
      <c r="C971" s="106"/>
      <c r="D971" s="109"/>
      <c r="E971" s="110"/>
      <c r="F971" s="111"/>
      <c r="G971" s="110"/>
    </row>
    <row r="972" ht="14.25" customHeight="1">
      <c r="B972" s="112"/>
      <c r="C972" s="106"/>
      <c r="D972" s="109"/>
      <c r="E972" s="110"/>
      <c r="F972" s="111"/>
      <c r="G972" s="110"/>
    </row>
    <row r="973" ht="14.25" customHeight="1">
      <c r="B973" s="112"/>
      <c r="C973" s="106"/>
      <c r="D973" s="109"/>
      <c r="E973" s="110"/>
      <c r="F973" s="111"/>
      <c r="G973" s="110"/>
    </row>
    <row r="974" ht="14.25" customHeight="1">
      <c r="B974" s="112"/>
      <c r="C974" s="106"/>
      <c r="D974" s="109"/>
      <c r="E974" s="110"/>
      <c r="F974" s="111"/>
      <c r="G974" s="110"/>
    </row>
    <row r="975" ht="14.25" customHeight="1">
      <c r="B975" s="112"/>
      <c r="C975" s="106"/>
      <c r="D975" s="109"/>
      <c r="E975" s="110"/>
      <c r="F975" s="111"/>
      <c r="G975" s="110"/>
    </row>
    <row r="976" ht="14.25" customHeight="1">
      <c r="B976" s="112"/>
      <c r="C976" s="106"/>
      <c r="D976" s="109"/>
      <c r="E976" s="110"/>
      <c r="F976" s="111"/>
      <c r="G976" s="110"/>
    </row>
    <row r="977" ht="14.25" customHeight="1">
      <c r="B977" s="112"/>
      <c r="C977" s="106"/>
      <c r="D977" s="109"/>
      <c r="E977" s="110"/>
      <c r="F977" s="111"/>
      <c r="G977" s="110"/>
    </row>
    <row r="978" ht="14.25" customHeight="1">
      <c r="B978" s="112"/>
      <c r="C978" s="106"/>
      <c r="D978" s="109"/>
      <c r="E978" s="110"/>
      <c r="F978" s="111"/>
      <c r="G978" s="110"/>
    </row>
    <row r="979" ht="14.25" customHeight="1">
      <c r="B979" s="112"/>
      <c r="C979" s="106"/>
      <c r="D979" s="109"/>
      <c r="E979" s="110"/>
      <c r="F979" s="111"/>
      <c r="G979" s="110"/>
    </row>
    <row r="980" ht="14.25" customHeight="1">
      <c r="B980" s="112"/>
      <c r="C980" s="106"/>
      <c r="D980" s="109"/>
      <c r="E980" s="110"/>
      <c r="F980" s="111"/>
      <c r="G980" s="110"/>
    </row>
    <row r="981" ht="14.25" customHeight="1">
      <c r="B981" s="112"/>
      <c r="C981" s="106"/>
      <c r="D981" s="109"/>
      <c r="E981" s="110"/>
      <c r="F981" s="111"/>
      <c r="G981" s="110"/>
    </row>
    <row r="982" ht="14.25" customHeight="1">
      <c r="B982" s="112"/>
      <c r="C982" s="106"/>
      <c r="D982" s="109"/>
      <c r="E982" s="110"/>
      <c r="F982" s="111"/>
      <c r="G982" s="110"/>
    </row>
    <row r="983" ht="14.25" customHeight="1">
      <c r="B983" s="112"/>
      <c r="C983" s="106"/>
      <c r="D983" s="109"/>
      <c r="E983" s="110"/>
      <c r="F983" s="111"/>
      <c r="G983" s="110"/>
    </row>
    <row r="984" ht="14.25" customHeight="1">
      <c r="B984" s="112"/>
      <c r="C984" s="106"/>
      <c r="D984" s="109"/>
      <c r="E984" s="110"/>
      <c r="F984" s="111"/>
      <c r="G984" s="110"/>
    </row>
    <row r="985" ht="14.25" customHeight="1">
      <c r="B985" s="112"/>
      <c r="C985" s="106"/>
      <c r="D985" s="109"/>
      <c r="E985" s="110"/>
      <c r="F985" s="111"/>
      <c r="G985" s="110"/>
    </row>
    <row r="986" ht="14.25" customHeight="1">
      <c r="B986" s="112"/>
      <c r="C986" s="106"/>
      <c r="D986" s="109"/>
      <c r="E986" s="110"/>
      <c r="F986" s="111"/>
      <c r="G986" s="110"/>
    </row>
    <row r="987" ht="14.25" customHeight="1">
      <c r="B987" s="112"/>
      <c r="C987" s="106"/>
      <c r="D987" s="109"/>
      <c r="E987" s="110"/>
      <c r="F987" s="111"/>
      <c r="G987" s="110"/>
    </row>
    <row r="988" ht="14.25" customHeight="1">
      <c r="B988" s="112"/>
      <c r="C988" s="106"/>
      <c r="D988" s="109"/>
      <c r="E988" s="110"/>
      <c r="F988" s="111"/>
      <c r="G988" s="110"/>
    </row>
    <row r="989" ht="14.25" customHeight="1">
      <c r="B989" s="112"/>
      <c r="C989" s="106"/>
      <c r="D989" s="109"/>
      <c r="E989" s="110"/>
      <c r="F989" s="111"/>
      <c r="G989" s="110"/>
    </row>
    <row r="990" ht="14.25" customHeight="1">
      <c r="B990" s="112"/>
      <c r="C990" s="106"/>
      <c r="D990" s="109"/>
      <c r="E990" s="110"/>
      <c r="F990" s="111"/>
      <c r="G990" s="110"/>
    </row>
    <row r="991" ht="14.25" customHeight="1">
      <c r="B991" s="112"/>
      <c r="C991" s="106"/>
      <c r="D991" s="109"/>
      <c r="E991" s="110"/>
      <c r="F991" s="111"/>
      <c r="G991" s="110"/>
    </row>
    <row r="992" ht="14.25" customHeight="1">
      <c r="B992" s="112"/>
      <c r="C992" s="106"/>
      <c r="D992" s="109"/>
      <c r="E992" s="110"/>
      <c r="F992" s="111"/>
      <c r="G992" s="110"/>
    </row>
    <row r="993" ht="14.25" customHeight="1">
      <c r="B993" s="112"/>
      <c r="C993" s="106"/>
      <c r="D993" s="109"/>
      <c r="E993" s="110"/>
      <c r="F993" s="111"/>
      <c r="G993" s="110"/>
    </row>
    <row r="994" ht="14.25" customHeight="1">
      <c r="B994" s="112"/>
      <c r="C994" s="106"/>
      <c r="D994" s="109"/>
      <c r="E994" s="110"/>
      <c r="F994" s="111"/>
      <c r="G994" s="110"/>
    </row>
    <row r="995" ht="14.25" customHeight="1">
      <c r="B995" s="112"/>
      <c r="C995" s="106"/>
      <c r="D995" s="109"/>
      <c r="E995" s="110"/>
      <c r="F995" s="111"/>
      <c r="G995" s="110"/>
    </row>
    <row r="996" ht="14.25" customHeight="1">
      <c r="B996" s="112"/>
      <c r="C996" s="106"/>
      <c r="D996" s="109"/>
      <c r="E996" s="110"/>
      <c r="F996" s="111"/>
      <c r="G996" s="110"/>
    </row>
    <row r="997" ht="14.25" customHeight="1">
      <c r="B997" s="112"/>
      <c r="C997" s="106"/>
      <c r="D997" s="109"/>
      <c r="E997" s="110"/>
      <c r="F997" s="111"/>
      <c r="G997" s="110"/>
    </row>
    <row r="998" ht="14.25" customHeight="1">
      <c r="B998" s="112"/>
      <c r="C998" s="106"/>
      <c r="D998" s="109"/>
      <c r="E998" s="110"/>
      <c r="F998" s="111"/>
      <c r="G998" s="110"/>
    </row>
    <row r="999" ht="14.25" customHeight="1">
      <c r="B999" s="112"/>
      <c r="C999" s="106"/>
      <c r="D999" s="109"/>
      <c r="E999" s="110"/>
      <c r="F999" s="111"/>
      <c r="G999" s="110"/>
    </row>
    <row r="1000" ht="14.25" customHeight="1">
      <c r="B1000" s="112"/>
      <c r="C1000" s="106"/>
      <c r="D1000" s="113"/>
      <c r="E1000" s="114"/>
      <c r="F1000" s="115"/>
      <c r="G1000" s="114"/>
    </row>
  </sheetData>
  <autoFilter ref="$B$1:$G$36"/>
  <mergeCells count="1">
    <mergeCell ref="B1:F1"/>
  </mergeCells>
  <dataValidations>
    <dataValidation type="list" allowBlank="1" sqref="E3:E1000">
      <formula1>"Groceries,Dining Out,Fuel,Coffee,Entertainment,Personal Care,Miscellaneous,Subscriptions,Savings,Other"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86"/>
    <col customWidth="1" min="3" max="5" width="14.0"/>
    <col customWidth="1" min="6" max="6" width="33.57"/>
    <col customWidth="1" min="7" max="7" width="38.29"/>
    <col customWidth="1" min="8" max="26" width="8.57"/>
  </cols>
  <sheetData>
    <row r="1" ht="21.75" customHeight="1">
      <c r="B1" s="22" t="s">
        <v>105</v>
      </c>
      <c r="C1" s="2"/>
      <c r="D1" s="2"/>
      <c r="E1" s="2"/>
      <c r="F1" s="3"/>
    </row>
    <row r="2" ht="31.5" customHeight="1">
      <c r="B2" s="93" t="s">
        <v>62</v>
      </c>
      <c r="C2" s="93" t="s">
        <v>106</v>
      </c>
      <c r="D2" s="93" t="s">
        <v>107</v>
      </c>
      <c r="E2" s="93" t="s">
        <v>108</v>
      </c>
      <c r="F2" s="93" t="s">
        <v>63</v>
      </c>
      <c r="G2" s="93" t="s">
        <v>12</v>
      </c>
    </row>
    <row r="3" ht="18.0" customHeight="1">
      <c r="B3" s="116" t="s">
        <v>66</v>
      </c>
      <c r="C3" s="25" t="s">
        <v>109</v>
      </c>
      <c r="D3" s="117">
        <v>250.0</v>
      </c>
      <c r="E3" s="117">
        <v>2490.0</v>
      </c>
      <c r="F3" s="118">
        <f t="shared" ref="F3:F6" si="1">IFERROR(D3/E3,0)</f>
        <v>0.1004016064</v>
      </c>
      <c r="G3" s="119" t="str">
        <f t="shared" ref="G3:G5" si="2">IF(D3&gt;=E3,"✅ Complete",IF(D3/E3&gt;=0.5,"🔄 Halfway","🚀 In Progress"))</f>
        <v>🚀 In Progress</v>
      </c>
    </row>
    <row r="4" ht="18.0" customHeight="1">
      <c r="B4" s="120" t="s">
        <v>110</v>
      </c>
      <c r="C4" s="30" t="s">
        <v>111</v>
      </c>
      <c r="D4" s="121">
        <v>0.0</v>
      </c>
      <c r="E4" s="121">
        <v>1400.0</v>
      </c>
      <c r="F4" s="122">
        <f t="shared" si="1"/>
        <v>0</v>
      </c>
      <c r="G4" s="123" t="str">
        <f t="shared" si="2"/>
        <v>🚀 In Progress</v>
      </c>
    </row>
    <row r="5" ht="18.0" customHeight="1">
      <c r="B5" s="116" t="s">
        <v>72</v>
      </c>
      <c r="C5" s="25" t="s">
        <v>112</v>
      </c>
      <c r="D5" s="117">
        <v>0.0</v>
      </c>
      <c r="E5" s="117">
        <v>1200.0</v>
      </c>
      <c r="F5" s="118">
        <f t="shared" si="1"/>
        <v>0</v>
      </c>
      <c r="G5" s="119" t="str">
        <f t="shared" si="2"/>
        <v>🚀 In Progress</v>
      </c>
    </row>
    <row r="6" ht="18.0" customHeight="1">
      <c r="B6" s="124" t="s">
        <v>113</v>
      </c>
      <c r="C6" s="125" t="s">
        <v>114</v>
      </c>
      <c r="D6" s="126">
        <v>0.0</v>
      </c>
      <c r="E6" s="126">
        <v>900.0</v>
      </c>
      <c r="F6" s="127">
        <f t="shared" si="1"/>
        <v>0</v>
      </c>
      <c r="G6" s="128" t="str">
        <f>IF(D6&gt;=E6,"✅ Funded!",IF(D6/E6&gt;=0.5,"🔄 Halfway","🚀 Saving..."))</f>
        <v>🚀 Saving...</v>
      </c>
    </row>
    <row r="7" ht="21.75" customHeight="1">
      <c r="B7" s="129"/>
    </row>
    <row r="8" ht="18.0" customHeight="1">
      <c r="B8" s="130" t="s">
        <v>115</v>
      </c>
    </row>
    <row r="9" ht="15.75" customHeight="1">
      <c r="B9" s="131" t="s">
        <v>35</v>
      </c>
      <c r="C9" s="131" t="s">
        <v>116</v>
      </c>
      <c r="D9" s="131" t="s">
        <v>117</v>
      </c>
      <c r="E9" s="131" t="s">
        <v>40</v>
      </c>
    </row>
    <row r="10" ht="15.75" customHeight="1">
      <c r="B10" s="25" t="s">
        <v>118</v>
      </c>
      <c r="C10" s="117">
        <v>0.0</v>
      </c>
      <c r="D10" s="26">
        <f>C10</f>
        <v>0</v>
      </c>
      <c r="E10" s="25"/>
    </row>
    <row r="11" ht="15.75" customHeight="1">
      <c r="B11" s="30" t="s">
        <v>119</v>
      </c>
      <c r="C11" s="121">
        <v>0.0</v>
      </c>
      <c r="D11" s="31">
        <f t="shared" ref="D11:D21" si="3">D10+C11</f>
        <v>0</v>
      </c>
      <c r="E11" s="30"/>
    </row>
    <row r="12" ht="15.75" customHeight="1">
      <c r="B12" s="25" t="s">
        <v>120</v>
      </c>
      <c r="C12" s="117">
        <v>0.0</v>
      </c>
      <c r="D12" s="26">
        <f t="shared" si="3"/>
        <v>0</v>
      </c>
      <c r="E12" s="25"/>
    </row>
    <row r="13" ht="15.75" customHeight="1">
      <c r="B13" s="30" t="s">
        <v>121</v>
      </c>
      <c r="C13" s="121">
        <v>0.0</v>
      </c>
      <c r="D13" s="31">
        <f t="shared" si="3"/>
        <v>0</v>
      </c>
      <c r="E13" s="30"/>
    </row>
    <row r="14" ht="15.75" customHeight="1">
      <c r="B14" s="25" t="s">
        <v>122</v>
      </c>
      <c r="C14" s="117">
        <v>0.0</v>
      </c>
      <c r="D14" s="26">
        <f t="shared" si="3"/>
        <v>0</v>
      </c>
      <c r="E14" s="25"/>
    </row>
    <row r="15" ht="15.75" customHeight="1">
      <c r="B15" s="30" t="s">
        <v>123</v>
      </c>
      <c r="C15" s="121">
        <v>0.0</v>
      </c>
      <c r="D15" s="31">
        <f t="shared" si="3"/>
        <v>0</v>
      </c>
      <c r="E15" s="30"/>
    </row>
    <row r="16" ht="15.75" customHeight="1">
      <c r="B16" s="25" t="s">
        <v>124</v>
      </c>
      <c r="C16" s="117">
        <v>0.0</v>
      </c>
      <c r="D16" s="26">
        <f t="shared" si="3"/>
        <v>0</v>
      </c>
      <c r="E16" s="25"/>
    </row>
    <row r="17" ht="15.75" customHeight="1">
      <c r="B17" s="30" t="s">
        <v>125</v>
      </c>
      <c r="C17" s="121">
        <v>0.0</v>
      </c>
      <c r="D17" s="31">
        <f t="shared" si="3"/>
        <v>0</v>
      </c>
      <c r="E17" s="30"/>
    </row>
    <row r="18" ht="15.75" customHeight="1">
      <c r="B18" s="25" t="s">
        <v>126</v>
      </c>
      <c r="C18" s="117">
        <v>0.0</v>
      </c>
      <c r="D18" s="26">
        <f t="shared" si="3"/>
        <v>0</v>
      </c>
      <c r="E18" s="25"/>
    </row>
    <row r="19" ht="15.75" customHeight="1">
      <c r="B19" s="30" t="s">
        <v>127</v>
      </c>
      <c r="C19" s="121">
        <v>0.0</v>
      </c>
      <c r="D19" s="31">
        <f t="shared" si="3"/>
        <v>0</v>
      </c>
      <c r="E19" s="30"/>
    </row>
    <row r="20" ht="15.75" customHeight="1">
      <c r="B20" s="25" t="s">
        <v>128</v>
      </c>
      <c r="C20" s="117">
        <v>0.0</v>
      </c>
      <c r="D20" s="26">
        <f t="shared" si="3"/>
        <v>0</v>
      </c>
      <c r="E20" s="25"/>
    </row>
    <row r="21" ht="15.0" customHeight="1">
      <c r="B21" s="30" t="s">
        <v>129</v>
      </c>
      <c r="C21" s="121">
        <v>0.0</v>
      </c>
      <c r="D21" s="31">
        <f t="shared" si="3"/>
        <v>0</v>
      </c>
      <c r="E21" s="30"/>
    </row>
    <row r="22" ht="14.25" customHeight="1"/>
    <row r="23" ht="6.0" customHeight="1"/>
    <row r="24" ht="25.5" customHeight="1">
      <c r="B24" s="132" t="s">
        <v>130</v>
      </c>
      <c r="C24" s="2"/>
      <c r="D24" s="2"/>
      <c r="E24" s="2"/>
      <c r="F24" s="2"/>
      <c r="G24" s="3"/>
    </row>
    <row r="25" ht="4.5" customHeight="1"/>
    <row r="26" ht="25.5" customHeight="1">
      <c r="B26" s="133" t="s">
        <v>131</v>
      </c>
      <c r="C26" s="133" t="s">
        <v>132</v>
      </c>
      <c r="D26" s="133" t="s">
        <v>133</v>
      </c>
      <c r="E26" s="133" t="s">
        <v>134</v>
      </c>
      <c r="F26" s="133" t="s">
        <v>12</v>
      </c>
      <c r="G26" s="133" t="s">
        <v>40</v>
      </c>
    </row>
    <row r="27" ht="16.5" customHeight="1">
      <c r="B27" s="134" t="s">
        <v>135</v>
      </c>
      <c r="C27" s="135">
        <v>280.0</v>
      </c>
      <c r="D27" s="136">
        <v>212.0</v>
      </c>
      <c r="E27" s="137">
        <f t="shared" ref="E27:E35" si="4">C27-D27</f>
        <v>68</v>
      </c>
      <c r="F27" s="138" t="str">
        <f t="shared" ref="F27:F34" si="5">IF(D27=0,"Not paid",IF(D27&lt;=C27,"✅ OK","⚠️ Over"))</f>
        <v>✅ OK</v>
      </c>
      <c r="G27" s="139" t="s">
        <v>136</v>
      </c>
    </row>
    <row r="28" ht="16.5" customHeight="1">
      <c r="B28" s="30" t="s">
        <v>137</v>
      </c>
      <c r="C28" s="140">
        <v>200.0</v>
      </c>
      <c r="D28" s="140">
        <v>0.0</v>
      </c>
      <c r="E28" s="31">
        <f t="shared" si="4"/>
        <v>200</v>
      </c>
      <c r="F28" s="33" t="str">
        <f t="shared" si="5"/>
        <v>Not paid</v>
      </c>
      <c r="G28" s="46" t="s">
        <v>138</v>
      </c>
    </row>
    <row r="29" ht="16.5" customHeight="1">
      <c r="B29" s="134" t="s">
        <v>139</v>
      </c>
      <c r="C29" s="135">
        <v>120.0</v>
      </c>
      <c r="D29" s="135">
        <v>0.0</v>
      </c>
      <c r="E29" s="137">
        <f t="shared" si="4"/>
        <v>120</v>
      </c>
      <c r="F29" s="138" t="str">
        <f t="shared" si="5"/>
        <v>Not paid</v>
      </c>
      <c r="G29" s="139" t="s">
        <v>140</v>
      </c>
    </row>
    <row r="30" ht="16.5" customHeight="1">
      <c r="B30" s="30" t="s">
        <v>141</v>
      </c>
      <c r="C30" s="141">
        <v>30.0</v>
      </c>
      <c r="D30" s="140">
        <v>0.0</v>
      </c>
      <c r="E30" s="31">
        <f t="shared" si="4"/>
        <v>30</v>
      </c>
      <c r="F30" s="33" t="str">
        <f t="shared" si="5"/>
        <v>Not paid</v>
      </c>
      <c r="G30" s="46" t="s">
        <v>142</v>
      </c>
    </row>
    <row r="31" ht="16.5" customHeight="1">
      <c r="B31" s="134" t="s">
        <v>143</v>
      </c>
      <c r="C31" s="135">
        <v>120.0</v>
      </c>
      <c r="D31" s="135">
        <v>0.0</v>
      </c>
      <c r="E31" s="137">
        <f t="shared" si="4"/>
        <v>120</v>
      </c>
      <c r="F31" s="138" t="str">
        <f t="shared" si="5"/>
        <v>Not paid</v>
      </c>
      <c r="G31" s="139" t="s">
        <v>144</v>
      </c>
    </row>
    <row r="32" ht="16.5" customHeight="1">
      <c r="B32" s="30" t="s">
        <v>145</v>
      </c>
      <c r="C32" s="140">
        <v>80.0</v>
      </c>
      <c r="D32" s="140">
        <v>0.0</v>
      </c>
      <c r="E32" s="31">
        <f t="shared" si="4"/>
        <v>80</v>
      </c>
      <c r="F32" s="33" t="str">
        <f t="shared" si="5"/>
        <v>Not paid</v>
      </c>
      <c r="G32" s="46" t="s">
        <v>146</v>
      </c>
    </row>
    <row r="33" ht="16.5" customHeight="1">
      <c r="B33" s="134" t="s">
        <v>147</v>
      </c>
      <c r="C33" s="136">
        <v>0.0</v>
      </c>
      <c r="D33" s="135">
        <v>0.0</v>
      </c>
      <c r="E33" s="137">
        <f t="shared" si="4"/>
        <v>0</v>
      </c>
      <c r="F33" s="138" t="str">
        <f t="shared" si="5"/>
        <v>Not paid</v>
      </c>
      <c r="G33" s="139" t="s">
        <v>148</v>
      </c>
    </row>
    <row r="34" ht="16.5" customHeight="1">
      <c r="B34" s="30" t="s">
        <v>149</v>
      </c>
      <c r="C34" s="140">
        <v>20.0</v>
      </c>
      <c r="D34" s="140">
        <v>0.0</v>
      </c>
      <c r="E34" s="31">
        <f t="shared" si="4"/>
        <v>20</v>
      </c>
      <c r="F34" s="33" t="str">
        <f t="shared" si="5"/>
        <v>Not paid</v>
      </c>
      <c r="G34" s="46" t="s">
        <v>150</v>
      </c>
    </row>
    <row r="35" ht="19.5" customHeight="1">
      <c r="B35" s="142" t="s">
        <v>33</v>
      </c>
      <c r="C35" s="143">
        <f t="shared" ref="C35:D35" si="6">SUM(C27:C34)</f>
        <v>850</v>
      </c>
      <c r="D35" s="143">
        <f t="shared" si="6"/>
        <v>212</v>
      </c>
      <c r="E35" s="143">
        <f t="shared" si="4"/>
        <v>638</v>
      </c>
      <c r="F35" s="144"/>
      <c r="G35" s="144"/>
    </row>
    <row r="36" ht="14.25" customHeight="1"/>
    <row r="37" ht="6.0" customHeight="1"/>
    <row r="38" ht="24.0" customHeight="1">
      <c r="B38" s="22" t="s">
        <v>151</v>
      </c>
      <c r="C38" s="2"/>
      <c r="D38" s="2"/>
      <c r="E38" s="2"/>
      <c r="F38" s="2"/>
      <c r="G38" s="3"/>
    </row>
    <row r="39" ht="4.5" customHeight="1"/>
    <row r="40" ht="25.5" customHeight="1">
      <c r="B40" s="145" t="s">
        <v>152</v>
      </c>
      <c r="C40" s="145" t="s">
        <v>153</v>
      </c>
      <c r="D40" s="145" t="s">
        <v>154</v>
      </c>
      <c r="E40" s="145" t="s">
        <v>155</v>
      </c>
      <c r="F40" s="145" t="s">
        <v>40</v>
      </c>
    </row>
    <row r="41" ht="16.5" customHeight="1">
      <c r="B41" s="25" t="s">
        <v>156</v>
      </c>
      <c r="C41" s="146">
        <v>250.0</v>
      </c>
      <c r="D41" s="28" t="s">
        <v>157</v>
      </c>
      <c r="E41" s="147">
        <f>C41</f>
        <v>250</v>
      </c>
      <c r="F41" s="148" t="s">
        <v>158</v>
      </c>
    </row>
    <row r="42" ht="16.5" customHeight="1">
      <c r="B42" s="30" t="s">
        <v>159</v>
      </c>
      <c r="C42" s="140">
        <v>100.0</v>
      </c>
      <c r="D42" s="33" t="s">
        <v>160</v>
      </c>
      <c r="E42" s="149">
        <f t="shared" ref="E42:E45" si="7">E41+C42</f>
        <v>350</v>
      </c>
      <c r="F42" s="46" t="s">
        <v>161</v>
      </c>
    </row>
    <row r="43" ht="16.5" customHeight="1">
      <c r="B43" s="25" t="s">
        <v>162</v>
      </c>
      <c r="C43" s="146">
        <v>100.0</v>
      </c>
      <c r="D43" s="28" t="s">
        <v>163</v>
      </c>
      <c r="E43" s="147">
        <f t="shared" si="7"/>
        <v>450</v>
      </c>
      <c r="F43" s="148" t="s">
        <v>161</v>
      </c>
    </row>
    <row r="44" ht="16.5" customHeight="1">
      <c r="B44" s="124" t="s">
        <v>164</v>
      </c>
      <c r="C44" s="150">
        <v>900.0</v>
      </c>
      <c r="D44" s="128" t="s">
        <v>165</v>
      </c>
      <c r="E44" s="151">
        <f t="shared" si="7"/>
        <v>1350</v>
      </c>
      <c r="F44" s="152" t="s">
        <v>166</v>
      </c>
    </row>
    <row r="45" ht="16.5" customHeight="1">
      <c r="B45" s="25" t="s">
        <v>167</v>
      </c>
      <c r="C45" s="146">
        <v>100.0</v>
      </c>
      <c r="D45" s="28" t="s">
        <v>168</v>
      </c>
      <c r="E45" s="147">
        <f t="shared" si="7"/>
        <v>1450</v>
      </c>
      <c r="F45" s="148" t="s">
        <v>161</v>
      </c>
    </row>
    <row r="46" ht="4.5" customHeight="1"/>
    <row r="47" ht="18.0" customHeight="1">
      <c r="B47" s="124" t="s">
        <v>169</v>
      </c>
      <c r="C47" s="153" t="s">
        <v>170</v>
      </c>
      <c r="D47" s="154"/>
      <c r="E47" s="154"/>
      <c r="F47" s="154"/>
    </row>
    <row r="48" ht="18.0" customHeight="1">
      <c r="B48" s="155" t="s">
        <v>171</v>
      </c>
      <c r="C48" s="156" t="s">
        <v>172</v>
      </c>
      <c r="D48" s="157"/>
      <c r="E48" s="157"/>
      <c r="F48" s="157"/>
    </row>
    <row r="49" ht="18.0" customHeight="1">
      <c r="B49" s="158" t="s">
        <v>173</v>
      </c>
      <c r="C49" s="159" t="s">
        <v>174</v>
      </c>
      <c r="D49" s="160"/>
      <c r="E49" s="160"/>
      <c r="F49" s="160"/>
    </row>
    <row r="50" ht="18.0" customHeight="1">
      <c r="B50" s="161" t="s">
        <v>175</v>
      </c>
      <c r="C50" s="162" t="s">
        <v>176</v>
      </c>
      <c r="D50" s="163"/>
      <c r="E50" s="163"/>
      <c r="F50" s="16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F1"/>
    <mergeCell ref="B7:E7"/>
    <mergeCell ref="B24:G24"/>
    <mergeCell ref="B38:G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4" width="10.0"/>
    <col customWidth="1" min="15" max="26" width="8.57"/>
  </cols>
  <sheetData>
    <row r="1" ht="21.75" customHeight="1">
      <c r="B1" s="22" t="s">
        <v>177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B2" s="93" t="s">
        <v>59</v>
      </c>
      <c r="C2" s="93" t="s">
        <v>178</v>
      </c>
      <c r="D2" s="93" t="s">
        <v>179</v>
      </c>
      <c r="E2" s="93" t="s">
        <v>180</v>
      </c>
      <c r="F2" s="93" t="s">
        <v>181</v>
      </c>
      <c r="G2" s="93" t="s">
        <v>47</v>
      </c>
      <c r="H2" s="93" t="s">
        <v>182</v>
      </c>
      <c r="I2" s="93" t="s">
        <v>183</v>
      </c>
      <c r="J2" s="93" t="s">
        <v>184</v>
      </c>
      <c r="K2" s="93" t="s">
        <v>185</v>
      </c>
      <c r="L2" s="93" t="s">
        <v>186</v>
      </c>
      <c r="M2" s="93" t="s">
        <v>187</v>
      </c>
      <c r="N2" s="93" t="s">
        <v>188</v>
      </c>
    </row>
    <row r="3" ht="15.75" customHeight="1">
      <c r="B3" s="164" t="s">
        <v>189</v>
      </c>
      <c r="C3" s="165">
        <f>Setup!C2</f>
        <v>883</v>
      </c>
      <c r="D3" s="165">
        <f>Setup!C2</f>
        <v>883</v>
      </c>
      <c r="E3" s="165">
        <f>Setup!C2</f>
        <v>883</v>
      </c>
      <c r="F3" s="165">
        <f>Setup!C2</f>
        <v>883</v>
      </c>
      <c r="G3" s="165">
        <f>Setup!C2</f>
        <v>883</v>
      </c>
      <c r="H3" s="165">
        <f>Setup!C2</f>
        <v>883</v>
      </c>
      <c r="I3" s="165">
        <f>Setup!C2</f>
        <v>883</v>
      </c>
      <c r="J3" s="165">
        <f>Setup!C2</f>
        <v>883</v>
      </c>
      <c r="K3" s="165">
        <f>Setup!C2</f>
        <v>883</v>
      </c>
      <c r="L3" s="165">
        <f>Setup!C2</f>
        <v>883</v>
      </c>
      <c r="M3" s="165">
        <f>Setup!C2</f>
        <v>883</v>
      </c>
      <c r="N3" s="165">
        <f>Setup!C2</f>
        <v>883</v>
      </c>
    </row>
    <row r="4" ht="15.75" customHeight="1">
      <c r="B4" s="164" t="s">
        <v>64</v>
      </c>
      <c r="C4" s="166">
        <v>280.0</v>
      </c>
      <c r="D4" s="165">
        <v>280.0</v>
      </c>
      <c r="E4" s="165">
        <v>280.0</v>
      </c>
      <c r="F4" s="165">
        <v>280.0</v>
      </c>
      <c r="G4" s="165">
        <v>280.0</v>
      </c>
      <c r="H4" s="165">
        <v>280.0</v>
      </c>
      <c r="I4" s="165">
        <v>280.0</v>
      </c>
      <c r="J4" s="165">
        <v>280.0</v>
      </c>
      <c r="K4" s="165">
        <v>280.0</v>
      </c>
      <c r="L4" s="165">
        <v>280.0</v>
      </c>
      <c r="M4" s="165">
        <v>280.0</v>
      </c>
      <c r="N4" s="165">
        <v>280.0</v>
      </c>
    </row>
    <row r="5" ht="15.75" customHeight="1">
      <c r="B5" s="164" t="s">
        <v>67</v>
      </c>
      <c r="C5" s="167">
        <v>100.0</v>
      </c>
      <c r="D5" s="167">
        <v>100.0</v>
      </c>
      <c r="E5" s="167">
        <v>100.0</v>
      </c>
      <c r="F5" s="167">
        <v>100.0</v>
      </c>
      <c r="G5" s="167">
        <v>100.0</v>
      </c>
      <c r="H5" s="167">
        <v>100.0</v>
      </c>
      <c r="I5" s="167">
        <v>100.0</v>
      </c>
      <c r="J5" s="167">
        <v>100.0</v>
      </c>
      <c r="K5" s="167">
        <v>100.0</v>
      </c>
      <c r="L5" s="167">
        <v>100.0</v>
      </c>
      <c r="M5" s="167">
        <v>100.0</v>
      </c>
      <c r="N5" s="167">
        <v>100.0</v>
      </c>
    </row>
    <row r="6" ht="15.75" customHeight="1">
      <c r="B6" s="164" t="s">
        <v>190</v>
      </c>
      <c r="C6" s="165">
        <v>24.0</v>
      </c>
      <c r="D6" s="165">
        <v>24.0</v>
      </c>
      <c r="E6" s="165">
        <v>24.0</v>
      </c>
      <c r="F6" s="165">
        <v>24.0</v>
      </c>
      <c r="G6" s="165">
        <v>24.0</v>
      </c>
      <c r="H6" s="165">
        <v>24.0</v>
      </c>
      <c r="I6" s="165">
        <v>24.0</v>
      </c>
      <c r="J6" s="165">
        <v>24.0</v>
      </c>
      <c r="K6" s="165">
        <v>24.0</v>
      </c>
      <c r="L6" s="165">
        <v>24.0</v>
      </c>
      <c r="M6" s="165">
        <v>24.0</v>
      </c>
      <c r="N6" s="165">
        <v>24.0</v>
      </c>
    </row>
    <row r="7" ht="15.75" customHeight="1">
      <c r="B7" s="164" t="s">
        <v>73</v>
      </c>
      <c r="C7" s="140">
        <v>11.0</v>
      </c>
      <c r="D7" s="140">
        <v>11.0</v>
      </c>
      <c r="E7" s="140">
        <v>11.0</v>
      </c>
      <c r="F7" s="140">
        <v>11.0</v>
      </c>
      <c r="G7" s="140">
        <v>11.0</v>
      </c>
      <c r="H7" s="140">
        <v>11.0</v>
      </c>
      <c r="I7" s="140">
        <v>11.0</v>
      </c>
      <c r="J7" s="140">
        <v>11.0</v>
      </c>
      <c r="K7" s="140">
        <v>11.0</v>
      </c>
      <c r="L7" s="140">
        <v>11.0</v>
      </c>
      <c r="M7" s="140">
        <v>11.0</v>
      </c>
      <c r="N7" s="140">
        <v>11.0</v>
      </c>
    </row>
    <row r="8" ht="15.75" customHeight="1">
      <c r="B8" s="85" t="s">
        <v>84</v>
      </c>
      <c r="C8" s="86">
        <f t="shared" ref="C8:N8" si="1">C4+C5+C6+C7</f>
        <v>415</v>
      </c>
      <c r="D8" s="86">
        <f t="shared" si="1"/>
        <v>415</v>
      </c>
      <c r="E8" s="86">
        <f t="shared" si="1"/>
        <v>415</v>
      </c>
      <c r="F8" s="86">
        <f t="shared" si="1"/>
        <v>415</v>
      </c>
      <c r="G8" s="86">
        <f t="shared" si="1"/>
        <v>415</v>
      </c>
      <c r="H8" s="86">
        <f t="shared" si="1"/>
        <v>415</v>
      </c>
      <c r="I8" s="86">
        <f t="shared" si="1"/>
        <v>415</v>
      </c>
      <c r="J8" s="86">
        <f t="shared" si="1"/>
        <v>415</v>
      </c>
      <c r="K8" s="86">
        <f t="shared" si="1"/>
        <v>415</v>
      </c>
      <c r="L8" s="86">
        <f t="shared" si="1"/>
        <v>415</v>
      </c>
      <c r="M8" s="86">
        <f t="shared" si="1"/>
        <v>415</v>
      </c>
      <c r="N8" s="86">
        <f t="shared" si="1"/>
        <v>415</v>
      </c>
    </row>
    <row r="9" ht="15.75" customHeight="1">
      <c r="B9" s="85" t="s">
        <v>191</v>
      </c>
      <c r="C9" s="86">
        <f t="shared" ref="C9:N9" si="2">C3-C8</f>
        <v>468</v>
      </c>
      <c r="D9" s="86">
        <f t="shared" si="2"/>
        <v>468</v>
      </c>
      <c r="E9" s="86">
        <f t="shared" si="2"/>
        <v>468</v>
      </c>
      <c r="F9" s="86">
        <f t="shared" si="2"/>
        <v>468</v>
      </c>
      <c r="G9" s="86">
        <f t="shared" si="2"/>
        <v>468</v>
      </c>
      <c r="H9" s="86">
        <f t="shared" si="2"/>
        <v>468</v>
      </c>
      <c r="I9" s="86">
        <f t="shared" si="2"/>
        <v>468</v>
      </c>
      <c r="J9" s="86">
        <f t="shared" si="2"/>
        <v>468</v>
      </c>
      <c r="K9" s="86">
        <f t="shared" si="2"/>
        <v>468</v>
      </c>
      <c r="L9" s="86">
        <f t="shared" si="2"/>
        <v>468</v>
      </c>
      <c r="M9" s="86">
        <f t="shared" si="2"/>
        <v>468</v>
      </c>
      <c r="N9" s="86">
        <f t="shared" si="2"/>
        <v>468</v>
      </c>
    </row>
    <row r="10" ht="15.75" customHeight="1">
      <c r="B10" s="164" t="s">
        <v>192</v>
      </c>
      <c r="C10" s="165">
        <v>100.0</v>
      </c>
      <c r="D10" s="165">
        <v>100.0</v>
      </c>
      <c r="E10" s="165">
        <v>100.0</v>
      </c>
      <c r="F10" s="165">
        <v>100.0</v>
      </c>
      <c r="G10" s="165">
        <v>100.0</v>
      </c>
      <c r="H10" s="165">
        <v>100.0</v>
      </c>
      <c r="I10" s="165">
        <v>100.0</v>
      </c>
      <c r="J10" s="165">
        <v>100.0</v>
      </c>
      <c r="K10" s="165">
        <v>100.0</v>
      </c>
      <c r="L10" s="165">
        <v>100.0</v>
      </c>
      <c r="M10" s="165">
        <v>100.0</v>
      </c>
      <c r="N10" s="165">
        <v>100.0</v>
      </c>
    </row>
    <row r="11" ht="14.25" customHeight="1"/>
    <row r="12" ht="7.5" customHeight="1"/>
    <row r="13" ht="15.0" customHeight="1">
      <c r="B13" s="168" t="s">
        <v>193</v>
      </c>
    </row>
    <row r="14" ht="14.25" customHeight="1"/>
    <row r="15" ht="14.25" customHeight="1"/>
    <row r="16" ht="7.5" customHeight="1"/>
    <row r="17" ht="21.75" customHeight="1">
      <c r="B17" s="169" t="s">
        <v>194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ht="18.0" customHeight="1">
      <c r="B18" s="170" t="s">
        <v>14</v>
      </c>
      <c r="C18" s="170" t="s">
        <v>178</v>
      </c>
      <c r="D18" s="170" t="s">
        <v>179</v>
      </c>
      <c r="E18" s="170" t="s">
        <v>180</v>
      </c>
      <c r="F18" s="170" t="s">
        <v>181</v>
      </c>
      <c r="G18" s="170" t="s">
        <v>47</v>
      </c>
      <c r="H18" s="170" t="s">
        <v>182</v>
      </c>
      <c r="I18" s="170" t="s">
        <v>183</v>
      </c>
      <c r="J18" s="170" t="s">
        <v>184</v>
      </c>
      <c r="K18" s="170" t="s">
        <v>185</v>
      </c>
      <c r="L18" s="170" t="s">
        <v>186</v>
      </c>
      <c r="M18" s="170" t="s">
        <v>187</v>
      </c>
      <c r="N18" s="170" t="s">
        <v>188</v>
      </c>
    </row>
    <row r="19" ht="15.75" customHeight="1">
      <c r="B19" s="171" t="s">
        <v>23</v>
      </c>
      <c r="C19" s="86">
        <f>IFERROR(Budget_Jan!H7,0)</f>
        <v>0</v>
      </c>
      <c r="D19" s="86">
        <f>IFERROR(Budget_Feb!H7,0)</f>
        <v>0</v>
      </c>
      <c r="E19" s="86">
        <f>IFERROR(Budget_Mar!H7,0)</f>
        <v>0</v>
      </c>
      <c r="F19" s="86">
        <f>IFERROR(Budget_Apr!H7,0)</f>
        <v>0</v>
      </c>
      <c r="G19" s="86">
        <f>IFERROR(Budget_May!H7,0)</f>
        <v>0</v>
      </c>
      <c r="H19" s="86">
        <f>IFERROR(Budget_Jun!H7,0)</f>
        <v>7.77</v>
      </c>
      <c r="I19" s="86">
        <f>IFERROR(Budget_Jul!H7,0)</f>
        <v>0</v>
      </c>
      <c r="J19" s="86">
        <f>IFERROR(Budget_Aug!H7,0)</f>
        <v>0</v>
      </c>
      <c r="K19" s="86">
        <f>IFERROR(Budget_Sep!H7,0)</f>
        <v>0</v>
      </c>
      <c r="L19" s="86">
        <f>IFERROR(Budget_Oct!H7,0)</f>
        <v>0</v>
      </c>
      <c r="M19" s="86">
        <f>IFERROR(Budget_Nov!H7,0)</f>
        <v>0</v>
      </c>
      <c r="N19" s="86">
        <f>IFERROR(Budget_Dec!H7,0)</f>
        <v>0</v>
      </c>
    </row>
    <row r="20" ht="15.75" customHeight="1">
      <c r="B20" s="171" t="s">
        <v>24</v>
      </c>
      <c r="C20" s="79">
        <f>IFERROR(Budget_Jan!H8,0)</f>
        <v>0</v>
      </c>
      <c r="D20" s="79">
        <f>IFERROR(Budget_Feb!H8,0)</f>
        <v>0</v>
      </c>
      <c r="E20" s="79">
        <f>IFERROR(Budget_Mar!H8,0)</f>
        <v>0</v>
      </c>
      <c r="F20" s="79">
        <f>IFERROR(Budget_Apr!H8,0)</f>
        <v>0</v>
      </c>
      <c r="G20" s="79">
        <f>IFERROR(Budget_May!H8,0)</f>
        <v>13</v>
      </c>
      <c r="H20" s="79">
        <f>IFERROR(Budget_Jun!H8,0)</f>
        <v>20.25</v>
      </c>
      <c r="I20" s="79">
        <f>IFERROR(Budget_Jul!H8,0)</f>
        <v>0</v>
      </c>
      <c r="J20" s="79">
        <f>IFERROR(Budget_Aug!H8,0)</f>
        <v>0</v>
      </c>
      <c r="K20" s="79">
        <f>IFERROR(Budget_Sep!H8,0)</f>
        <v>0</v>
      </c>
      <c r="L20" s="79">
        <f>IFERROR(Budget_Oct!H8,0)</f>
        <v>0</v>
      </c>
      <c r="M20" s="79">
        <f>IFERROR(Budget_Nov!H8,0)</f>
        <v>0</v>
      </c>
      <c r="N20" s="79">
        <f>IFERROR(Budget_Dec!H8,0)</f>
        <v>0</v>
      </c>
    </row>
    <row r="21" ht="15.75" customHeight="1">
      <c r="B21" s="171" t="s">
        <v>25</v>
      </c>
      <c r="C21" s="86">
        <f>IFERROR(Budget_Jan!H9,0)</f>
        <v>0</v>
      </c>
      <c r="D21" s="86">
        <f>IFERROR(Budget_Feb!H9,0)</f>
        <v>0</v>
      </c>
      <c r="E21" s="86">
        <f>IFERROR(Budget_Mar!H9,0)</f>
        <v>0</v>
      </c>
      <c r="F21" s="86">
        <f>IFERROR(Budget_Apr!H9,0)</f>
        <v>0</v>
      </c>
      <c r="G21" s="86">
        <f>IFERROR(Budget_May!H9,0)</f>
        <v>15</v>
      </c>
      <c r="H21" s="86">
        <f>IFERROR(Budget_Jun!H9,0)</f>
        <v>3</v>
      </c>
      <c r="I21" s="86">
        <f>IFERROR(Budget_Jul!H9,0)</f>
        <v>0</v>
      </c>
      <c r="J21" s="86">
        <f>IFERROR(Budget_Aug!H9,0)</f>
        <v>0</v>
      </c>
      <c r="K21" s="86">
        <f>IFERROR(Budget_Sep!H9,0)</f>
        <v>0</v>
      </c>
      <c r="L21" s="86">
        <f>IFERROR(Budget_Oct!H9,0)</f>
        <v>0</v>
      </c>
      <c r="M21" s="86">
        <f>IFERROR(Budget_Nov!H9,0)</f>
        <v>0</v>
      </c>
      <c r="N21" s="86">
        <f>IFERROR(Budget_Dec!H9,0)</f>
        <v>0</v>
      </c>
    </row>
    <row r="22" ht="15.75" customHeight="1">
      <c r="B22" s="171" t="s">
        <v>26</v>
      </c>
      <c r="C22" s="79">
        <f>IFERROR(Budget_Jan!H10,0)</f>
        <v>0</v>
      </c>
      <c r="D22" s="79">
        <f>IFERROR(Budget_Feb!H10,0)</f>
        <v>0</v>
      </c>
      <c r="E22" s="79">
        <f>IFERROR(Budget_Mar!H10,0)</f>
        <v>0</v>
      </c>
      <c r="F22" s="79">
        <f>IFERROR(Budget_Apr!H10,0)</f>
        <v>0</v>
      </c>
      <c r="G22" s="79">
        <f>IFERROR(Budget_May!H10,0)</f>
        <v>5.8</v>
      </c>
      <c r="H22" s="79">
        <f>IFERROR(Budget_Jun!H10,0)</f>
        <v>15</v>
      </c>
      <c r="I22" s="79">
        <f>IFERROR(Budget_Jul!H10,0)</f>
        <v>0</v>
      </c>
      <c r="J22" s="79">
        <f>IFERROR(Budget_Aug!H10,0)</f>
        <v>0</v>
      </c>
      <c r="K22" s="79">
        <f>IFERROR(Budget_Sep!H10,0)</f>
        <v>0</v>
      </c>
      <c r="L22" s="79">
        <f>IFERROR(Budget_Oct!H10,0)</f>
        <v>0</v>
      </c>
      <c r="M22" s="79">
        <f>IFERROR(Budget_Nov!H10,0)</f>
        <v>0</v>
      </c>
      <c r="N22" s="79">
        <f>IFERROR(Budget_Dec!H10,0)</f>
        <v>0</v>
      </c>
    </row>
    <row r="23" ht="15.75" customHeight="1">
      <c r="B23" s="171" t="s">
        <v>27</v>
      </c>
      <c r="C23" s="86">
        <f>IFERROR(Budget_Jan!H11,0)</f>
        <v>0</v>
      </c>
      <c r="D23" s="86">
        <f>IFERROR(Budget_Feb!H11,0)</f>
        <v>0</v>
      </c>
      <c r="E23" s="86">
        <f>IFERROR(Budget_Mar!H11,0)</f>
        <v>0</v>
      </c>
      <c r="F23" s="86">
        <f>IFERROR(Budget_Apr!H11,0)</f>
        <v>0</v>
      </c>
      <c r="G23" s="86">
        <f>IFERROR(Budget_May!H11,0)</f>
        <v>0</v>
      </c>
      <c r="H23" s="86">
        <f>IFERROR(Budget_Jun!H11,0)</f>
        <v>1.5</v>
      </c>
      <c r="I23" s="86">
        <f>IFERROR(Budget_Jul!H11,0)</f>
        <v>0</v>
      </c>
      <c r="J23" s="86">
        <f>IFERROR(Budget_Aug!H11,0)</f>
        <v>0</v>
      </c>
      <c r="K23" s="86">
        <f>IFERROR(Budget_Sep!H11,0)</f>
        <v>0</v>
      </c>
      <c r="L23" s="86">
        <f>IFERROR(Budget_Oct!H11,0)</f>
        <v>0</v>
      </c>
      <c r="M23" s="86">
        <f>IFERROR(Budget_Nov!H11,0)</f>
        <v>0</v>
      </c>
      <c r="N23" s="86">
        <f>IFERROR(Budget_Dec!H11,0)</f>
        <v>0</v>
      </c>
    </row>
    <row r="24" ht="15.75" customHeight="1">
      <c r="B24" s="171" t="s">
        <v>28</v>
      </c>
      <c r="C24" s="79">
        <f>IFERROR(Budget_Jan!H12,0)</f>
        <v>0</v>
      </c>
      <c r="D24" s="79">
        <f>IFERROR(Budget_Feb!H12,0)</f>
        <v>0</v>
      </c>
      <c r="E24" s="79">
        <f>IFERROR(Budget_Mar!H12,0)</f>
        <v>0</v>
      </c>
      <c r="F24" s="79">
        <f>IFERROR(Budget_Apr!H12,0)</f>
        <v>0</v>
      </c>
      <c r="G24" s="79">
        <f>IFERROR(Budget_May!H12,0)</f>
        <v>0</v>
      </c>
      <c r="H24" s="79">
        <f>IFERROR(Budget_Jun!H12,0)</f>
        <v>1</v>
      </c>
      <c r="I24" s="79">
        <f>IFERROR(Budget_Jul!H12,0)</f>
        <v>0</v>
      </c>
      <c r="J24" s="79">
        <f>IFERROR(Budget_Aug!H12,0)</f>
        <v>0</v>
      </c>
      <c r="K24" s="79">
        <f>IFERROR(Budget_Sep!H12,0)</f>
        <v>0</v>
      </c>
      <c r="L24" s="79">
        <f>IFERROR(Budget_Oct!H12,0)</f>
        <v>0</v>
      </c>
      <c r="M24" s="79">
        <f>IFERROR(Budget_Nov!H12,0)</f>
        <v>0</v>
      </c>
      <c r="N24" s="79">
        <f>IFERROR(Budget_Dec!H12,0)</f>
        <v>0</v>
      </c>
    </row>
    <row r="25" ht="15.75" customHeight="1">
      <c r="B25" s="171" t="s">
        <v>29</v>
      </c>
      <c r="C25" s="86">
        <f>IFERROR(Budget_Jan!H13,0)</f>
        <v>0</v>
      </c>
      <c r="D25" s="86">
        <f>IFERROR(Budget_Feb!H13,0)</f>
        <v>0</v>
      </c>
      <c r="E25" s="86">
        <f>IFERROR(Budget_Mar!H13,0)</f>
        <v>0</v>
      </c>
      <c r="F25" s="86">
        <f>IFERROR(Budget_Apr!H13,0)</f>
        <v>0</v>
      </c>
      <c r="G25" s="86">
        <f>IFERROR(Budget_May!H13,0)</f>
        <v>70</v>
      </c>
      <c r="H25" s="86">
        <f>IFERROR(Budget_Jun!H13,0)</f>
        <v>0</v>
      </c>
      <c r="I25" s="86">
        <f>IFERROR(Budget_Jul!H13,0)</f>
        <v>0</v>
      </c>
      <c r="J25" s="86">
        <f>IFERROR(Budget_Aug!H13,0)</f>
        <v>0</v>
      </c>
      <c r="K25" s="86">
        <f>IFERROR(Budget_Sep!H13,0)</f>
        <v>0</v>
      </c>
      <c r="L25" s="86">
        <f>IFERROR(Budget_Oct!H13,0)</f>
        <v>0</v>
      </c>
      <c r="M25" s="86">
        <f>IFERROR(Budget_Nov!H13,0)</f>
        <v>0</v>
      </c>
      <c r="N25" s="86">
        <f>IFERROR(Budget_Dec!H13,0)</f>
        <v>0</v>
      </c>
    </row>
    <row r="26" ht="15.75" customHeight="1">
      <c r="B26" s="171" t="s">
        <v>30</v>
      </c>
      <c r="C26" s="79">
        <f>IFERROR(Budget_Jan!H14,0)</f>
        <v>0</v>
      </c>
      <c r="D26" s="79">
        <f>IFERROR(Budget_Feb!H14,0)</f>
        <v>0</v>
      </c>
      <c r="E26" s="79">
        <f>IFERROR(Budget_Mar!H14,0)</f>
        <v>0</v>
      </c>
      <c r="F26" s="79">
        <f>IFERROR(Budget_Apr!H14,0)</f>
        <v>0</v>
      </c>
      <c r="G26" s="79">
        <f>IFERROR(Budget_May!H14,0)</f>
        <v>30</v>
      </c>
      <c r="H26" s="79">
        <f>IFERROR(Budget_Jun!H14,0)</f>
        <v>0</v>
      </c>
      <c r="I26" s="79">
        <f>IFERROR(Budget_Jul!H14,0)</f>
        <v>0</v>
      </c>
      <c r="J26" s="79">
        <f>IFERROR(Budget_Aug!H14,0)</f>
        <v>0</v>
      </c>
      <c r="K26" s="79">
        <f>IFERROR(Budget_Sep!H14,0)</f>
        <v>0</v>
      </c>
      <c r="L26" s="79">
        <f>IFERROR(Budget_Oct!H14,0)</f>
        <v>0</v>
      </c>
      <c r="M26" s="79">
        <f>IFERROR(Budget_Nov!H14,0)</f>
        <v>0</v>
      </c>
      <c r="N26" s="79">
        <f>IFERROR(Budget_Dec!H14,0)</f>
        <v>0</v>
      </c>
    </row>
    <row r="27" ht="15.75" customHeight="1">
      <c r="B27" s="171" t="s">
        <v>31</v>
      </c>
      <c r="C27" s="86">
        <f>IFERROR(Budget_Jan!H15,0)</f>
        <v>0</v>
      </c>
      <c r="D27" s="86">
        <f>IFERROR(Budget_Feb!H15,0)</f>
        <v>0</v>
      </c>
      <c r="E27" s="86">
        <f>IFERROR(Budget_Mar!H15,0)</f>
        <v>0</v>
      </c>
      <c r="F27" s="86">
        <f>IFERROR(Budget_Apr!H15,0)</f>
        <v>0</v>
      </c>
      <c r="G27" s="86">
        <f>IFERROR(Budget_May!H15,0)</f>
        <v>0</v>
      </c>
      <c r="H27" s="86">
        <f>IFERROR(Budget_Jun!H15,0)</f>
        <v>84</v>
      </c>
      <c r="I27" s="86">
        <f>IFERROR(Budget_Jul!H15,0)</f>
        <v>0</v>
      </c>
      <c r="J27" s="86">
        <f>IFERROR(Budget_Aug!H15,0)</f>
        <v>0</v>
      </c>
      <c r="K27" s="86">
        <f>IFERROR(Budget_Sep!H15,0)</f>
        <v>0</v>
      </c>
      <c r="L27" s="86">
        <f>IFERROR(Budget_Oct!H15,0)</f>
        <v>0</v>
      </c>
      <c r="M27" s="86">
        <f>IFERROR(Budget_Nov!H15,0)</f>
        <v>0</v>
      </c>
      <c r="N27" s="86">
        <f>IFERROR(Budget_Dec!H15,0)</f>
        <v>0</v>
      </c>
    </row>
    <row r="28" ht="15.75" customHeight="1">
      <c r="B28" s="171" t="s">
        <v>32</v>
      </c>
      <c r="C28" s="79">
        <f>IFERROR(Budget_Jan!H16,0)</f>
        <v>0</v>
      </c>
      <c r="D28" s="79">
        <f>IFERROR(Budget_Feb!H16,0)</f>
        <v>0</v>
      </c>
      <c r="E28" s="79">
        <f>IFERROR(Budget_Mar!H16,0)</f>
        <v>0</v>
      </c>
      <c r="F28" s="79">
        <f>IFERROR(Budget_Apr!H16,0)</f>
        <v>0</v>
      </c>
      <c r="G28" s="79">
        <f>IFERROR(Budget_May!H16,0)</f>
        <v>0</v>
      </c>
      <c r="H28" s="79">
        <f>IFERROR(Budget_Jun!H16,0)</f>
        <v>22.5</v>
      </c>
      <c r="I28" s="79">
        <f>IFERROR(Budget_Jul!H16,0)</f>
        <v>0</v>
      </c>
      <c r="J28" s="79">
        <f>IFERROR(Budget_Aug!H16,0)</f>
        <v>0</v>
      </c>
      <c r="K28" s="79">
        <f>IFERROR(Budget_Sep!H16,0)</f>
        <v>0</v>
      </c>
      <c r="L28" s="79">
        <f>IFERROR(Budget_Oct!H16,0)</f>
        <v>0</v>
      </c>
      <c r="M28" s="79">
        <f>IFERROR(Budget_Nov!H16,0)</f>
        <v>0</v>
      </c>
      <c r="N28" s="79">
        <f>IFERROR(Budget_Dec!H16,0)</f>
        <v>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N1"/>
    <mergeCell ref="B13:N13"/>
    <mergeCell ref="B17:N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195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199</v>
      </c>
      <c r="E6" s="184" t="s">
        <v>200</v>
      </c>
      <c r="F6" s="185" t="s">
        <v>201</v>
      </c>
      <c r="G6" s="186" t="s">
        <v>202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IFERROR(SUMPRODUCT((Transactions!E$3:E$2000="Groceries")*ISNUMBER(Transactions!B$3:B$2000)*(Transactions!B$3:B$2000&gt;=DATE(2026,1,1))*(Transactions!B$3:B$2000&lt;=DATE(2026,1,7))*(Transactions!D$3:D$2000)),0)</f>
        <v>0</v>
      </c>
      <c r="E7" s="190">
        <f>IFERROR(SUMPRODUCT((Transactions!E$3:E$2000="Groceries")*ISNUMBER(Transactions!B$3:B$2000)*(Transactions!B$3:B$2000&gt;=DATE(2026,1,8))*(Transactions!B$3:B$2000&lt;=DATE(2026,1,15))*(Transactions!D$3:D$2000)),0)</f>
        <v>0</v>
      </c>
      <c r="F7" s="191">
        <f>IFERROR(SUMPRODUCT((Transactions!E$3:E$2000="Groceries")*ISNUMBER(Transactions!B$3:B$2000)*(Transactions!B$3:B$2000&gt;=DATE(2026,1,16))*(Transactions!B$3:B$2000&lt;=DATE(2026,1,22))*(Transactions!D$3:D$2000)),0)</f>
        <v>0</v>
      </c>
      <c r="G7" s="192">
        <f>IFERROR(SUMPRODUCT((Transactions!E$3:E$2000="Groceries")*ISNUMBER(Transactions!B$3:B$2000)*(Transactions!B$3:B$2000&gt;=DATE(2026,1,23))*(Transactions!B$3:B$2000&lt;=DATE(2026,1,31))*(Transactions!D$3:D$2000)),0)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Out")*ISNUMBER(Transactions!B$3:B$2000)*(Transactions!B$3:B$2000&gt;=DATE(2026,1,1))*(Transactions!B$3:B$2000&lt;=DATE(2026,1,7))*(Transactions!D$3:D$2000)),0)</f>
        <v>0</v>
      </c>
      <c r="E8" s="190">
        <f>IFERROR(SUMPRODUCT((Transactions!E$3:E$2000="Dining Out")*ISNUMBER(Transactions!B$3:B$2000)*(Transactions!B$3:B$2000&gt;=DATE(2026,1,8))*(Transactions!B$3:B$2000&lt;=DATE(2026,1,15))*(Transactions!D$3:D$2000)),0)</f>
        <v>0</v>
      </c>
      <c r="F8" s="191">
        <f>IFERROR(SUMPRODUCT((Transactions!E$3:E$2000="Dining Out")*ISNUMBER(Transactions!B$3:B$2000)*(Transactions!B$3:B$2000&gt;=DATE(2026,1,16))*(Transactions!B$3:B$2000&lt;=DATE(2026,1,22))*(Transactions!D$3:D$2000)),0)</f>
        <v>0</v>
      </c>
      <c r="G8" s="192">
        <f>IFERROR(SUMPRODUCT((Transactions!E$3:E$2000="Dining Out")*ISNUMBER(Transactions!B$3:B$2000)*(Transactions!B$3:B$2000&gt;=DATE(2026,1,23))*(Transactions!B$3:B$2000&lt;=DATE(2026,1,31))*(Transactions!D$3:D$2000)),0)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IFERROR(SUMPRODUCT((Transactions!E$3:E$2000="Fuel")*ISNUMBER(Transactions!B$3:B$2000)*(Transactions!B$3:B$2000&gt;=DATE(2026,1,1))*(Transactions!B$3:B$2000&lt;=DATE(2026,1,7))*(Transactions!D$3:D$2000)),0)</f>
        <v>0</v>
      </c>
      <c r="E9" s="190">
        <f>IFERROR(SUMPRODUCT((Transactions!E$3:E$2000="Fuel")*ISNUMBER(Transactions!B$3:B$2000)*(Transactions!B$3:B$2000&gt;=DATE(2026,1,8))*(Transactions!B$3:B$2000&lt;=DATE(2026,1,15))*(Transactions!D$3:D$2000)),0)</f>
        <v>0</v>
      </c>
      <c r="F9" s="191">
        <f>IFERROR(SUMPRODUCT((Transactions!E$3:E$2000="Fuel")*ISNUMBER(Transactions!B$3:B$2000)*(Transactions!B$3:B$2000&gt;=DATE(2026,1,16))*(Transactions!B$3:B$2000&lt;=DATE(2026,1,22))*(Transactions!D$3:D$2000)),0)</f>
        <v>0</v>
      </c>
      <c r="G9" s="192">
        <f>IFERROR(SUMPRODUCT((Transactions!E$3:E$2000="Fuel")*ISNUMBER(Transactions!B$3:B$2000)*(Transactions!B$3:B$2000&gt;=DATE(2026,1,23))*(Transactions!B$3:B$2000&lt;=DATE(2026,1,31))*(Transactions!D$3:D$2000)),0)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IFERROR(SUMPRODUCT((Transactions!E$3:E$2000="Coffee")*ISNUMBER(Transactions!B$3:B$2000)*(Transactions!B$3:B$2000&gt;=DATE(2026,1,1))*(Transactions!B$3:B$2000&lt;=DATE(2026,1,7))*(Transactions!D$3:D$2000)),0)</f>
        <v>0</v>
      </c>
      <c r="E10" s="190">
        <f>IFERROR(SUMPRODUCT((Transactions!E$3:E$2000="Coffee")*ISNUMBER(Transactions!B$3:B$2000)*(Transactions!B$3:B$2000&gt;=DATE(2026,1,8))*(Transactions!B$3:B$2000&lt;=DATE(2026,1,15))*(Transactions!D$3:D$2000)),0)</f>
        <v>0</v>
      </c>
      <c r="F10" s="191">
        <f>IFERROR(SUMPRODUCT((Transactions!E$3:E$2000="Coffee")*ISNUMBER(Transactions!B$3:B$2000)*(Transactions!B$3:B$2000&gt;=DATE(2026,1,16))*(Transactions!B$3:B$2000&lt;=DATE(2026,1,22))*(Transactions!D$3:D$2000)),0)</f>
        <v>0</v>
      </c>
      <c r="G10" s="192">
        <f>IFERROR(SUMPRODUCT((Transactions!E$3:E$2000="Coffee")*ISNUMBER(Transactions!B$3:B$2000)*(Transactions!B$3:B$2000&gt;=DATE(2026,1,23))*(Transactions!B$3:B$2000&lt;=DATE(2026,1,31))*(Transactions!D$3:D$2000)),0)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IFERROR(SUMPRODUCT((Transactions!E$3:E$2000="Entertainment")*ISNUMBER(Transactions!B$3:B$2000)*(Transactions!B$3:B$2000&gt;=DATE(2026,1,1))*(Transactions!B$3:B$2000&lt;=DATE(2026,1,7))*(Transactions!D$3:D$2000)),0)</f>
        <v>0</v>
      </c>
      <c r="E11" s="190">
        <f>IFERROR(SUMPRODUCT((Transactions!E$3:E$2000="Entertainment")*ISNUMBER(Transactions!B$3:B$2000)*(Transactions!B$3:B$2000&gt;=DATE(2026,1,8))*(Transactions!B$3:B$2000&lt;=DATE(2026,1,15))*(Transactions!D$3:D$2000)),0)</f>
        <v>0</v>
      </c>
      <c r="F11" s="191">
        <f>IFERROR(SUMPRODUCT((Transactions!E$3:E$2000="Entertainment")*ISNUMBER(Transactions!B$3:B$2000)*(Transactions!B$3:B$2000&gt;=DATE(2026,1,16))*(Transactions!B$3:B$2000&lt;=DATE(2026,1,22))*(Transactions!D$3:D$2000)),0)</f>
        <v>0</v>
      </c>
      <c r="G11" s="192">
        <f>IFERROR(SUMPRODUCT((Transactions!E$3:E$2000="Entertainment")*ISNUMBER(Transactions!B$3:B$2000)*(Transactions!B$3:B$2000&gt;=DATE(2026,1,23))*(Transactions!B$3:B$2000&lt;=DATE(2026,1,31))*(Transactions!D$3:D$2000)),0)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Care")*ISNUMBER(Transactions!B$3:B$2000)*(Transactions!B$3:B$2000&gt;=DATE(2026,1,1))*(Transactions!B$3:B$2000&lt;=DATE(2026,1,7))*(Transactions!D$3:D$2000)),0)</f>
        <v>0</v>
      </c>
      <c r="E12" s="190">
        <f>IFERROR(SUMPRODUCT((Transactions!E$3:E$2000="Personal Care")*ISNUMBER(Transactions!B$3:B$2000)*(Transactions!B$3:B$2000&gt;=DATE(2026,1,8))*(Transactions!B$3:B$2000&lt;=DATE(2026,1,15))*(Transactions!D$3:D$2000)),0)</f>
        <v>0</v>
      </c>
      <c r="F12" s="191">
        <f>IFERROR(SUMPRODUCT((Transactions!E$3:E$2000="Personal Care")*ISNUMBER(Transactions!B$3:B$2000)*(Transactions!B$3:B$2000&gt;=DATE(2026,1,16))*(Transactions!B$3:B$2000&lt;=DATE(2026,1,22))*(Transactions!D$3:D$2000)),0)</f>
        <v>0</v>
      </c>
      <c r="G12" s="192">
        <f>IFERROR(SUMPRODUCT((Transactions!E$3:E$2000="Personal Care")*ISNUMBER(Transactions!B$3:B$2000)*(Transactions!B$3:B$2000&gt;=DATE(2026,1,23))*(Transactions!B$3:B$2000&lt;=DATE(2026,1,31))*(Transactions!D$3:D$2000)),0)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IFERROR(SUMPRODUCT((Transactions!E$3:E$2000="Miscellaneous")*ISNUMBER(Transactions!B$3:B$2000)*(Transactions!B$3:B$2000&gt;=DATE(2026,1,1))*(Transactions!B$3:B$2000&lt;=DATE(2026,1,7))*(Transactions!D$3:D$2000)),0)</f>
        <v>0</v>
      </c>
      <c r="E13" s="190">
        <f>IFERROR(SUMPRODUCT((Transactions!E$3:E$2000="Miscellaneous")*ISNUMBER(Transactions!B$3:B$2000)*(Transactions!B$3:B$2000&gt;=DATE(2026,1,8))*(Transactions!B$3:B$2000&lt;=DATE(2026,1,15))*(Transactions!D$3:D$2000)),0)</f>
        <v>0</v>
      </c>
      <c r="F13" s="191">
        <f>IFERROR(SUMPRODUCT((Transactions!E$3:E$2000="Miscellaneous")*ISNUMBER(Transactions!B$3:B$2000)*(Transactions!B$3:B$2000&gt;=DATE(2026,1,16))*(Transactions!B$3:B$2000&lt;=DATE(2026,1,22))*(Transactions!D$3:D$2000)),0)</f>
        <v>0</v>
      </c>
      <c r="G13" s="192">
        <f>IFERROR(SUMPRODUCT((Transactions!E$3:E$2000="Miscellaneous")*ISNUMBER(Transactions!B$3:B$2000)*(Transactions!B$3:B$2000&gt;=DATE(2026,1,23))*(Transactions!B$3:B$2000&lt;=DATE(2026,1,31))*(Transactions!D$3:D$2000)),0)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IFERROR(SUMPRODUCT((Transactions!E$3:E$2000="Subscriptions")*ISNUMBER(Transactions!B$3:B$2000)*(Transactions!B$3:B$2000&gt;=DATE(2026,1,1))*(Transactions!B$3:B$2000&lt;=DATE(2026,1,7))*(Transactions!D$3:D$2000)),0)</f>
        <v>0</v>
      </c>
      <c r="E14" s="190">
        <f>IFERROR(SUMPRODUCT((Transactions!E$3:E$2000="Subscriptions")*ISNUMBER(Transactions!B$3:B$2000)*(Transactions!B$3:B$2000&gt;=DATE(2026,1,8))*(Transactions!B$3:B$2000&lt;=DATE(2026,1,15))*(Transactions!D$3:D$2000)),0)</f>
        <v>0</v>
      </c>
      <c r="F14" s="191">
        <f>IFERROR(SUMPRODUCT((Transactions!E$3:E$2000="Subscriptions")*ISNUMBER(Transactions!B$3:B$2000)*(Transactions!B$3:B$2000&gt;=DATE(2026,1,16))*(Transactions!B$3:B$2000&lt;=DATE(2026,1,22))*(Transactions!D$3:D$2000)),0)</f>
        <v>0</v>
      </c>
      <c r="G14" s="192">
        <f>IFERROR(SUMPRODUCT((Transactions!E$3:E$2000="Subscriptions")*ISNUMBER(Transactions!B$3:B$2000)*(Transactions!B$3:B$2000&gt;=DATE(2026,1,23))*(Transactions!B$3:B$2000&lt;=DATE(2026,1,31))*(Transactions!D$3:D$2000)),0)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IFERROR(SUMPRODUCT((Transactions!E$3:E$2000="Savings")*ISNUMBER(Transactions!B$3:B$2000)*(Transactions!B$3:B$2000&gt;=DATE(2026,1,1))*(Transactions!B$3:B$2000&lt;=DATE(2026,1,7))*(Transactions!D$3:D$2000)),0)</f>
        <v>0</v>
      </c>
      <c r="E15" s="190">
        <f>IFERROR(SUMPRODUCT((Transactions!E$3:E$2000="Savings")*ISNUMBER(Transactions!B$3:B$2000)*(Transactions!B$3:B$2000&gt;=DATE(2026,1,8))*(Transactions!B$3:B$2000&lt;=DATE(2026,1,15))*(Transactions!D$3:D$2000)),0)</f>
        <v>0</v>
      </c>
      <c r="F15" s="191">
        <f>IFERROR(SUMPRODUCT((Transactions!E$3:E$2000="Savings")*ISNUMBER(Transactions!B$3:B$2000)*(Transactions!B$3:B$2000&gt;=DATE(2026,1,16))*(Transactions!B$3:B$2000&lt;=DATE(2026,1,22))*(Transactions!D$3:D$2000)),0)</f>
        <v>0</v>
      </c>
      <c r="G15" s="192">
        <f>IFERROR(SUMPRODUCT((Transactions!E$3:E$2000="Savings")*ISNUMBER(Transactions!B$3:B$2000)*(Transactions!B$3:B$2000&gt;=DATE(2026,1,23))*(Transactions!B$3:B$2000&lt;=DATE(2026,1,31))*(Transactions!D$3:D$2000)),0)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IFERROR(SUMPRODUCT((Transactions!E$3:E$2000="Other")*ISNUMBER(Transactions!B$3:B$2000)*(Transactions!B$3:B$2000&gt;=DATE(2026,1,1))*(Transactions!B$3:B$2000&lt;=DATE(2026,1,7))*(Transactions!D$3:D$2000)),0)</f>
        <v>0</v>
      </c>
      <c r="E16" s="190">
        <f>IFERROR(SUMPRODUCT((Transactions!E$3:E$2000="Other")*ISNUMBER(Transactions!B$3:B$2000)*(Transactions!B$3:B$2000&gt;=DATE(2026,1,8))*(Transactions!B$3:B$2000&lt;=DATE(2026,1,15))*(Transactions!D$3:D$2000)),0)</f>
        <v>0</v>
      </c>
      <c r="F16" s="191">
        <f>IFERROR(SUMPRODUCT((Transactions!E$3:E$2000="Other")*ISNUMBER(Transactions!B$3:B$2000)*(Transactions!B$3:B$2000&gt;=DATE(2026,1,16))*(Transactions!B$3:B$2000&lt;=DATE(2026,1,22))*(Transactions!D$3:D$2000)),0)</f>
        <v>0</v>
      </c>
      <c r="G16" s="192">
        <f>IFERROR(SUMPRODUCT((Transactions!E$3:E$2000="Other")*ISNUMBER(Transactions!B$3:B$2000)*(Transactions!B$3:B$2000&gt;=DATE(2026,1,23))*(Transactions!B$3:B$2000&lt;=DATE(2026,1,31))*(Transactions!D$3:D$2000)),0)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210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212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214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216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217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218</v>
      </c>
      <c r="E6" s="184" t="s">
        <v>219</v>
      </c>
      <c r="F6" s="185" t="s">
        <v>220</v>
      </c>
      <c r="G6" s="186" t="s">
        <v>221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IFERROR(SUMPRODUCT((Transactions!E$3:E$2000="Groceries")*ISNUMBER(Transactions!B$3:B$2000)*(Transactions!B$3:B$2000&gt;=DATE(2026,2,1))*(Transactions!B$3:B$2000&lt;=DATE(2026,2,7))*(Transactions!D$3:D$2000)),0)</f>
        <v>0</v>
      </c>
      <c r="E7" s="190">
        <f>IFERROR(SUMPRODUCT((Transactions!E$3:E$2000="Groceries")*ISNUMBER(Transactions!B$3:B$2000)*(Transactions!B$3:B$2000&gt;=DATE(2026,2,8))*(Transactions!B$3:B$2000&lt;=DATE(2026,2,15))*(Transactions!D$3:D$2000)),0)</f>
        <v>0</v>
      </c>
      <c r="F7" s="191">
        <f>IFERROR(SUMPRODUCT((Transactions!E$3:E$2000="Groceries")*ISNUMBER(Transactions!B$3:B$2000)*(Transactions!B$3:B$2000&gt;=DATE(2026,2,16))*(Transactions!B$3:B$2000&lt;=DATE(2026,2,22))*(Transactions!D$3:D$2000)),0)</f>
        <v>0</v>
      </c>
      <c r="G7" s="192">
        <f>IFERROR(SUMPRODUCT((Transactions!E$3:E$2000="Groceries")*ISNUMBER(Transactions!B$3:B$2000)*(Transactions!B$3:B$2000&gt;=DATE(2026,2,23))*(Transactions!B$3:B$2000&lt;=DATE(2026,2,28))*(Transactions!D$3:D$2000)),0)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Out")*ISNUMBER(Transactions!B$3:B$2000)*(Transactions!B$3:B$2000&gt;=DATE(2026,2,1))*(Transactions!B$3:B$2000&lt;=DATE(2026,2,7))*(Transactions!D$3:D$2000)),0)</f>
        <v>0</v>
      </c>
      <c r="E8" s="190">
        <f>IFERROR(SUMPRODUCT((Transactions!E$3:E$2000="Dining Out")*ISNUMBER(Transactions!B$3:B$2000)*(Transactions!B$3:B$2000&gt;=DATE(2026,2,8))*(Transactions!B$3:B$2000&lt;=DATE(2026,2,15))*(Transactions!D$3:D$2000)),0)</f>
        <v>0</v>
      </c>
      <c r="F8" s="191">
        <f>IFERROR(SUMPRODUCT((Transactions!E$3:E$2000="Dining Out")*ISNUMBER(Transactions!B$3:B$2000)*(Transactions!B$3:B$2000&gt;=DATE(2026,2,16))*(Transactions!B$3:B$2000&lt;=DATE(2026,2,22))*(Transactions!D$3:D$2000)),0)</f>
        <v>0</v>
      </c>
      <c r="G8" s="192">
        <f>IFERROR(SUMPRODUCT((Transactions!E$3:E$2000="Dining Out")*ISNUMBER(Transactions!B$3:B$2000)*(Transactions!B$3:B$2000&gt;=DATE(2026,2,23))*(Transactions!B$3:B$2000&lt;=DATE(2026,2,28))*(Transactions!D$3:D$2000)),0)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IFERROR(SUMPRODUCT((Transactions!E$3:E$2000="Fuel")*ISNUMBER(Transactions!B$3:B$2000)*(Transactions!B$3:B$2000&gt;=DATE(2026,2,1))*(Transactions!B$3:B$2000&lt;=DATE(2026,2,7))*(Transactions!D$3:D$2000)),0)</f>
        <v>0</v>
      </c>
      <c r="E9" s="190">
        <f>IFERROR(SUMPRODUCT((Transactions!E$3:E$2000="Fuel")*ISNUMBER(Transactions!B$3:B$2000)*(Transactions!B$3:B$2000&gt;=DATE(2026,2,8))*(Transactions!B$3:B$2000&lt;=DATE(2026,2,15))*(Transactions!D$3:D$2000)),0)</f>
        <v>0</v>
      </c>
      <c r="F9" s="191">
        <f>IFERROR(SUMPRODUCT((Transactions!E$3:E$2000="Fuel")*ISNUMBER(Transactions!B$3:B$2000)*(Transactions!B$3:B$2000&gt;=DATE(2026,2,16))*(Transactions!B$3:B$2000&lt;=DATE(2026,2,22))*(Transactions!D$3:D$2000)),0)</f>
        <v>0</v>
      </c>
      <c r="G9" s="192">
        <f>IFERROR(SUMPRODUCT((Transactions!E$3:E$2000="Fuel")*ISNUMBER(Transactions!B$3:B$2000)*(Transactions!B$3:B$2000&gt;=DATE(2026,2,23))*(Transactions!B$3:B$2000&lt;=DATE(2026,2,28))*(Transactions!D$3:D$2000)),0)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IFERROR(SUMPRODUCT((Transactions!E$3:E$2000="Coffee")*ISNUMBER(Transactions!B$3:B$2000)*(Transactions!B$3:B$2000&gt;=DATE(2026,2,1))*(Transactions!B$3:B$2000&lt;=DATE(2026,2,7))*(Transactions!D$3:D$2000)),0)</f>
        <v>0</v>
      </c>
      <c r="E10" s="190">
        <f>IFERROR(SUMPRODUCT((Transactions!E$3:E$2000="Coffee")*ISNUMBER(Transactions!B$3:B$2000)*(Transactions!B$3:B$2000&gt;=DATE(2026,2,8))*(Transactions!B$3:B$2000&lt;=DATE(2026,2,15))*(Transactions!D$3:D$2000)),0)</f>
        <v>0</v>
      </c>
      <c r="F10" s="191">
        <f>IFERROR(SUMPRODUCT((Transactions!E$3:E$2000="Coffee")*ISNUMBER(Transactions!B$3:B$2000)*(Transactions!B$3:B$2000&gt;=DATE(2026,2,16))*(Transactions!B$3:B$2000&lt;=DATE(2026,2,22))*(Transactions!D$3:D$2000)),0)</f>
        <v>0</v>
      </c>
      <c r="G10" s="192">
        <f>IFERROR(SUMPRODUCT((Transactions!E$3:E$2000="Coffee")*ISNUMBER(Transactions!B$3:B$2000)*(Transactions!B$3:B$2000&gt;=DATE(2026,2,23))*(Transactions!B$3:B$2000&lt;=DATE(2026,2,28))*(Transactions!D$3:D$2000)),0)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IFERROR(SUMPRODUCT((Transactions!E$3:E$2000="Entertainment")*ISNUMBER(Transactions!B$3:B$2000)*(Transactions!B$3:B$2000&gt;=DATE(2026,2,1))*(Transactions!B$3:B$2000&lt;=DATE(2026,2,7))*(Transactions!D$3:D$2000)),0)</f>
        <v>0</v>
      </c>
      <c r="E11" s="190">
        <f>IFERROR(SUMPRODUCT((Transactions!E$3:E$2000="Entertainment")*ISNUMBER(Transactions!B$3:B$2000)*(Transactions!B$3:B$2000&gt;=DATE(2026,2,8))*(Transactions!B$3:B$2000&lt;=DATE(2026,2,15))*(Transactions!D$3:D$2000)),0)</f>
        <v>0</v>
      </c>
      <c r="F11" s="191">
        <f>IFERROR(SUMPRODUCT((Transactions!E$3:E$2000="Entertainment")*ISNUMBER(Transactions!B$3:B$2000)*(Transactions!B$3:B$2000&gt;=DATE(2026,2,16))*(Transactions!B$3:B$2000&lt;=DATE(2026,2,22))*(Transactions!D$3:D$2000)),0)</f>
        <v>0</v>
      </c>
      <c r="G11" s="192">
        <f>IFERROR(SUMPRODUCT((Transactions!E$3:E$2000="Entertainment")*ISNUMBER(Transactions!B$3:B$2000)*(Transactions!B$3:B$2000&gt;=DATE(2026,2,23))*(Transactions!B$3:B$2000&lt;=DATE(2026,2,28))*(Transactions!D$3:D$2000)),0)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Care")*ISNUMBER(Transactions!B$3:B$2000)*(Transactions!B$3:B$2000&gt;=DATE(2026,2,1))*(Transactions!B$3:B$2000&lt;=DATE(2026,2,7))*(Transactions!D$3:D$2000)),0)</f>
        <v>0</v>
      </c>
      <c r="E12" s="190">
        <f>IFERROR(SUMPRODUCT((Transactions!E$3:E$2000="Personal Care")*ISNUMBER(Transactions!B$3:B$2000)*(Transactions!B$3:B$2000&gt;=DATE(2026,2,8))*(Transactions!B$3:B$2000&lt;=DATE(2026,2,15))*(Transactions!D$3:D$2000)),0)</f>
        <v>0</v>
      </c>
      <c r="F12" s="191">
        <f>IFERROR(SUMPRODUCT((Transactions!E$3:E$2000="Personal Care")*ISNUMBER(Transactions!B$3:B$2000)*(Transactions!B$3:B$2000&gt;=DATE(2026,2,16))*(Transactions!B$3:B$2000&lt;=DATE(2026,2,22))*(Transactions!D$3:D$2000)),0)</f>
        <v>0</v>
      </c>
      <c r="G12" s="192">
        <f>IFERROR(SUMPRODUCT((Transactions!E$3:E$2000="Personal Care")*ISNUMBER(Transactions!B$3:B$2000)*(Transactions!B$3:B$2000&gt;=DATE(2026,2,23))*(Transactions!B$3:B$2000&lt;=DATE(2026,2,28))*(Transactions!D$3:D$2000)),0)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IFERROR(SUMPRODUCT((Transactions!E$3:E$2000="Miscellaneous")*ISNUMBER(Transactions!B$3:B$2000)*(Transactions!B$3:B$2000&gt;=DATE(2026,2,1))*(Transactions!B$3:B$2000&lt;=DATE(2026,2,7))*(Transactions!D$3:D$2000)),0)</f>
        <v>0</v>
      </c>
      <c r="E13" s="190">
        <f>IFERROR(SUMPRODUCT((Transactions!E$3:E$2000="Miscellaneous")*ISNUMBER(Transactions!B$3:B$2000)*(Transactions!B$3:B$2000&gt;=DATE(2026,2,8))*(Transactions!B$3:B$2000&lt;=DATE(2026,2,15))*(Transactions!D$3:D$2000)),0)</f>
        <v>0</v>
      </c>
      <c r="F13" s="191">
        <f>IFERROR(SUMPRODUCT((Transactions!E$3:E$2000="Miscellaneous")*ISNUMBER(Transactions!B$3:B$2000)*(Transactions!B$3:B$2000&gt;=DATE(2026,2,16))*(Transactions!B$3:B$2000&lt;=DATE(2026,2,22))*(Transactions!D$3:D$2000)),0)</f>
        <v>0</v>
      </c>
      <c r="G13" s="192">
        <f>IFERROR(SUMPRODUCT((Transactions!E$3:E$2000="Miscellaneous")*ISNUMBER(Transactions!B$3:B$2000)*(Transactions!B$3:B$2000&gt;=DATE(2026,2,23))*(Transactions!B$3:B$2000&lt;=DATE(2026,2,28))*(Transactions!D$3:D$2000)),0)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IFERROR(SUMPRODUCT((Transactions!E$3:E$2000="Subscriptions")*ISNUMBER(Transactions!B$3:B$2000)*(Transactions!B$3:B$2000&gt;=DATE(2026,2,1))*(Transactions!B$3:B$2000&lt;=DATE(2026,2,7))*(Transactions!D$3:D$2000)),0)</f>
        <v>0</v>
      </c>
      <c r="E14" s="190">
        <f>IFERROR(SUMPRODUCT((Transactions!E$3:E$2000="Subscriptions")*ISNUMBER(Transactions!B$3:B$2000)*(Transactions!B$3:B$2000&gt;=DATE(2026,2,8))*(Transactions!B$3:B$2000&lt;=DATE(2026,2,15))*(Transactions!D$3:D$2000)),0)</f>
        <v>0</v>
      </c>
      <c r="F14" s="191">
        <f>IFERROR(SUMPRODUCT((Transactions!E$3:E$2000="Subscriptions")*ISNUMBER(Transactions!B$3:B$2000)*(Transactions!B$3:B$2000&gt;=DATE(2026,2,16))*(Transactions!B$3:B$2000&lt;=DATE(2026,2,22))*(Transactions!D$3:D$2000)),0)</f>
        <v>0</v>
      </c>
      <c r="G14" s="192">
        <f>IFERROR(SUMPRODUCT((Transactions!E$3:E$2000="Subscriptions")*ISNUMBER(Transactions!B$3:B$2000)*(Transactions!B$3:B$2000&gt;=DATE(2026,2,23))*(Transactions!B$3:B$2000&lt;=DATE(2026,2,28))*(Transactions!D$3:D$2000)),0)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IFERROR(SUMPRODUCT((Transactions!E$3:E$2000="Savings")*ISNUMBER(Transactions!B$3:B$2000)*(Transactions!B$3:B$2000&gt;=DATE(2026,2,1))*(Transactions!B$3:B$2000&lt;=DATE(2026,2,7))*(Transactions!D$3:D$2000)),0)</f>
        <v>0</v>
      </c>
      <c r="E15" s="190">
        <f>IFERROR(SUMPRODUCT((Transactions!E$3:E$2000="Savings")*ISNUMBER(Transactions!B$3:B$2000)*(Transactions!B$3:B$2000&gt;=DATE(2026,2,8))*(Transactions!B$3:B$2000&lt;=DATE(2026,2,15))*(Transactions!D$3:D$2000)),0)</f>
        <v>0</v>
      </c>
      <c r="F15" s="191">
        <f>IFERROR(SUMPRODUCT((Transactions!E$3:E$2000="Savings")*ISNUMBER(Transactions!B$3:B$2000)*(Transactions!B$3:B$2000&gt;=DATE(2026,2,16))*(Transactions!B$3:B$2000&lt;=DATE(2026,2,22))*(Transactions!D$3:D$2000)),0)</f>
        <v>0</v>
      </c>
      <c r="G15" s="192">
        <f>IFERROR(SUMPRODUCT((Transactions!E$3:E$2000="Savings")*ISNUMBER(Transactions!B$3:B$2000)*(Transactions!B$3:B$2000&gt;=DATE(2026,2,23))*(Transactions!B$3:B$2000&lt;=DATE(2026,2,28))*(Transactions!D$3:D$2000)),0)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IFERROR(SUMPRODUCT((Transactions!E$3:E$2000="Other")*ISNUMBER(Transactions!B$3:B$2000)*(Transactions!B$3:B$2000&gt;=DATE(2026,2,1))*(Transactions!B$3:B$2000&lt;=DATE(2026,2,7))*(Transactions!D$3:D$2000)),0)</f>
        <v>0</v>
      </c>
      <c r="E16" s="190">
        <f>IFERROR(SUMPRODUCT((Transactions!E$3:E$2000="Other")*ISNUMBER(Transactions!B$3:B$2000)*(Transactions!B$3:B$2000&gt;=DATE(2026,2,8))*(Transactions!B$3:B$2000&lt;=DATE(2026,2,15))*(Transactions!D$3:D$2000)),0)</f>
        <v>0</v>
      </c>
      <c r="F16" s="191">
        <f>IFERROR(SUMPRODUCT((Transactions!E$3:E$2000="Other")*ISNUMBER(Transactions!B$3:B$2000)*(Transactions!B$3:B$2000&gt;=DATE(2026,2,16))*(Transactions!B$3:B$2000&lt;=DATE(2026,2,22))*(Transactions!D$3:D$2000)),0)</f>
        <v>0</v>
      </c>
      <c r="G16" s="192">
        <f>IFERROR(SUMPRODUCT((Transactions!E$3:E$2000="Other")*ISNUMBER(Transactions!B$3:B$2000)*(Transactions!B$3:B$2000&gt;=DATE(2026,2,23))*(Transactions!B$3:B$2000&lt;=DATE(2026,2,28))*(Transactions!D$3:D$2000)),0)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222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223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224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225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226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227</v>
      </c>
      <c r="E6" s="184" t="s">
        <v>228</v>
      </c>
      <c r="F6" s="185" t="s">
        <v>229</v>
      </c>
      <c r="G6" s="186" t="s">
        <v>230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IFERROR(SUMPRODUCT((Transactions!E$3:E$2000="Groceries")*ISNUMBER(Transactions!B$3:B$2000)*(Transactions!B$3:B$2000&gt;=DATE(2026,3,1))*(Transactions!B$3:B$2000&lt;=DATE(2026,3,7))*(Transactions!D$3:D$2000)),0)</f>
        <v>0</v>
      </c>
      <c r="E7" s="190">
        <f>IFERROR(SUMPRODUCT((Transactions!E$3:E$2000="Groceries")*ISNUMBER(Transactions!B$3:B$2000)*(Transactions!B$3:B$2000&gt;=DATE(2026,3,8))*(Transactions!B$3:B$2000&lt;=DATE(2026,3,15))*(Transactions!D$3:D$2000)),0)</f>
        <v>0</v>
      </c>
      <c r="F7" s="191">
        <f>IFERROR(SUMPRODUCT((Transactions!E$3:E$2000="Groceries")*ISNUMBER(Transactions!B$3:B$2000)*(Transactions!B$3:B$2000&gt;=DATE(2026,3,16))*(Transactions!B$3:B$2000&lt;=DATE(2026,3,22))*(Transactions!D$3:D$2000)),0)</f>
        <v>0</v>
      </c>
      <c r="G7" s="192">
        <f>IFERROR(SUMPRODUCT((Transactions!E$3:E$2000="Groceries")*ISNUMBER(Transactions!B$3:B$2000)*(Transactions!B$3:B$2000&gt;=DATE(2026,3,23))*(Transactions!B$3:B$2000&lt;=DATE(2026,3,31))*(Transactions!D$3:D$2000)),0)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Out")*ISNUMBER(Transactions!B$3:B$2000)*(Transactions!B$3:B$2000&gt;=DATE(2026,3,1))*(Transactions!B$3:B$2000&lt;=DATE(2026,3,7))*(Transactions!D$3:D$2000)),0)</f>
        <v>0</v>
      </c>
      <c r="E8" s="190">
        <f>IFERROR(SUMPRODUCT((Transactions!E$3:E$2000="Dining Out")*ISNUMBER(Transactions!B$3:B$2000)*(Transactions!B$3:B$2000&gt;=DATE(2026,3,8))*(Transactions!B$3:B$2000&lt;=DATE(2026,3,15))*(Transactions!D$3:D$2000)),0)</f>
        <v>0</v>
      </c>
      <c r="F8" s="191">
        <f>IFERROR(SUMPRODUCT((Transactions!E$3:E$2000="Dining Out")*ISNUMBER(Transactions!B$3:B$2000)*(Transactions!B$3:B$2000&gt;=DATE(2026,3,16))*(Transactions!B$3:B$2000&lt;=DATE(2026,3,22))*(Transactions!D$3:D$2000)),0)</f>
        <v>0</v>
      </c>
      <c r="G8" s="192">
        <f>IFERROR(SUMPRODUCT((Transactions!E$3:E$2000="Dining Out")*ISNUMBER(Transactions!B$3:B$2000)*(Transactions!B$3:B$2000&gt;=DATE(2026,3,23))*(Transactions!B$3:B$2000&lt;=DATE(2026,3,31))*(Transactions!D$3:D$2000)),0)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IFERROR(SUMPRODUCT((Transactions!E$3:E$2000="Fuel")*ISNUMBER(Transactions!B$3:B$2000)*(Transactions!B$3:B$2000&gt;=DATE(2026,3,1))*(Transactions!B$3:B$2000&lt;=DATE(2026,3,7))*(Transactions!D$3:D$2000)),0)</f>
        <v>0</v>
      </c>
      <c r="E9" s="190">
        <f>IFERROR(SUMPRODUCT((Transactions!E$3:E$2000="Fuel")*ISNUMBER(Transactions!B$3:B$2000)*(Transactions!B$3:B$2000&gt;=DATE(2026,3,8))*(Transactions!B$3:B$2000&lt;=DATE(2026,3,15))*(Transactions!D$3:D$2000)),0)</f>
        <v>0</v>
      </c>
      <c r="F9" s="191">
        <f>IFERROR(SUMPRODUCT((Transactions!E$3:E$2000="Fuel")*ISNUMBER(Transactions!B$3:B$2000)*(Transactions!B$3:B$2000&gt;=DATE(2026,3,16))*(Transactions!B$3:B$2000&lt;=DATE(2026,3,22))*(Transactions!D$3:D$2000)),0)</f>
        <v>0</v>
      </c>
      <c r="G9" s="192">
        <f>IFERROR(SUMPRODUCT((Transactions!E$3:E$2000="Fuel")*ISNUMBER(Transactions!B$3:B$2000)*(Transactions!B$3:B$2000&gt;=DATE(2026,3,23))*(Transactions!B$3:B$2000&lt;=DATE(2026,3,31))*(Transactions!D$3:D$2000)),0)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IFERROR(SUMPRODUCT((Transactions!E$3:E$2000="Coffee")*ISNUMBER(Transactions!B$3:B$2000)*(Transactions!B$3:B$2000&gt;=DATE(2026,3,1))*(Transactions!B$3:B$2000&lt;=DATE(2026,3,7))*(Transactions!D$3:D$2000)),0)</f>
        <v>0</v>
      </c>
      <c r="E10" s="190">
        <f>IFERROR(SUMPRODUCT((Transactions!E$3:E$2000="Coffee")*ISNUMBER(Transactions!B$3:B$2000)*(Transactions!B$3:B$2000&gt;=DATE(2026,3,8))*(Transactions!B$3:B$2000&lt;=DATE(2026,3,15))*(Transactions!D$3:D$2000)),0)</f>
        <v>0</v>
      </c>
      <c r="F10" s="191">
        <f>IFERROR(SUMPRODUCT((Transactions!E$3:E$2000="Coffee")*ISNUMBER(Transactions!B$3:B$2000)*(Transactions!B$3:B$2000&gt;=DATE(2026,3,16))*(Transactions!B$3:B$2000&lt;=DATE(2026,3,22))*(Transactions!D$3:D$2000)),0)</f>
        <v>0</v>
      </c>
      <c r="G10" s="192">
        <f>IFERROR(SUMPRODUCT((Transactions!E$3:E$2000="Coffee")*ISNUMBER(Transactions!B$3:B$2000)*(Transactions!B$3:B$2000&gt;=DATE(2026,3,23))*(Transactions!B$3:B$2000&lt;=DATE(2026,3,31))*(Transactions!D$3:D$2000)),0)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IFERROR(SUMPRODUCT((Transactions!E$3:E$2000="Entertainment")*ISNUMBER(Transactions!B$3:B$2000)*(Transactions!B$3:B$2000&gt;=DATE(2026,3,1))*(Transactions!B$3:B$2000&lt;=DATE(2026,3,7))*(Transactions!D$3:D$2000)),0)</f>
        <v>0</v>
      </c>
      <c r="E11" s="190">
        <f>IFERROR(SUMPRODUCT((Transactions!E$3:E$2000="Entertainment")*ISNUMBER(Transactions!B$3:B$2000)*(Transactions!B$3:B$2000&gt;=DATE(2026,3,8))*(Transactions!B$3:B$2000&lt;=DATE(2026,3,15))*(Transactions!D$3:D$2000)),0)</f>
        <v>0</v>
      </c>
      <c r="F11" s="191">
        <f>IFERROR(SUMPRODUCT((Transactions!E$3:E$2000="Entertainment")*ISNUMBER(Transactions!B$3:B$2000)*(Transactions!B$3:B$2000&gt;=DATE(2026,3,16))*(Transactions!B$3:B$2000&lt;=DATE(2026,3,22))*(Transactions!D$3:D$2000)),0)</f>
        <v>0</v>
      </c>
      <c r="G11" s="192">
        <f>IFERROR(SUMPRODUCT((Transactions!E$3:E$2000="Entertainment")*ISNUMBER(Transactions!B$3:B$2000)*(Transactions!B$3:B$2000&gt;=DATE(2026,3,23))*(Transactions!B$3:B$2000&lt;=DATE(2026,3,31))*(Transactions!D$3:D$2000)),0)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Care")*ISNUMBER(Transactions!B$3:B$2000)*(Transactions!B$3:B$2000&gt;=DATE(2026,3,1))*(Transactions!B$3:B$2000&lt;=DATE(2026,3,7))*(Transactions!D$3:D$2000)),0)</f>
        <v>0</v>
      </c>
      <c r="E12" s="190">
        <f>IFERROR(SUMPRODUCT((Transactions!E$3:E$2000="Personal Care")*ISNUMBER(Transactions!B$3:B$2000)*(Transactions!B$3:B$2000&gt;=DATE(2026,3,8))*(Transactions!B$3:B$2000&lt;=DATE(2026,3,15))*(Transactions!D$3:D$2000)),0)</f>
        <v>0</v>
      </c>
      <c r="F12" s="191">
        <f>IFERROR(SUMPRODUCT((Transactions!E$3:E$2000="Personal Care")*ISNUMBER(Transactions!B$3:B$2000)*(Transactions!B$3:B$2000&gt;=DATE(2026,3,16))*(Transactions!B$3:B$2000&lt;=DATE(2026,3,22))*(Transactions!D$3:D$2000)),0)</f>
        <v>0</v>
      </c>
      <c r="G12" s="192">
        <f>IFERROR(SUMPRODUCT((Transactions!E$3:E$2000="Personal Care")*ISNUMBER(Transactions!B$3:B$2000)*(Transactions!B$3:B$2000&gt;=DATE(2026,3,23))*(Transactions!B$3:B$2000&lt;=DATE(2026,3,31))*(Transactions!D$3:D$2000)),0)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IFERROR(SUMPRODUCT((Transactions!E$3:E$2000="Miscellaneous")*ISNUMBER(Transactions!B$3:B$2000)*(Transactions!B$3:B$2000&gt;=DATE(2026,3,1))*(Transactions!B$3:B$2000&lt;=DATE(2026,3,7))*(Transactions!D$3:D$2000)),0)</f>
        <v>0</v>
      </c>
      <c r="E13" s="190">
        <f>IFERROR(SUMPRODUCT((Transactions!E$3:E$2000="Miscellaneous")*ISNUMBER(Transactions!B$3:B$2000)*(Transactions!B$3:B$2000&gt;=DATE(2026,3,8))*(Transactions!B$3:B$2000&lt;=DATE(2026,3,15))*(Transactions!D$3:D$2000)),0)</f>
        <v>0</v>
      </c>
      <c r="F13" s="191">
        <f>IFERROR(SUMPRODUCT((Transactions!E$3:E$2000="Miscellaneous")*ISNUMBER(Transactions!B$3:B$2000)*(Transactions!B$3:B$2000&gt;=DATE(2026,3,16))*(Transactions!B$3:B$2000&lt;=DATE(2026,3,22))*(Transactions!D$3:D$2000)),0)</f>
        <v>0</v>
      </c>
      <c r="G13" s="192">
        <f>IFERROR(SUMPRODUCT((Transactions!E$3:E$2000="Miscellaneous")*ISNUMBER(Transactions!B$3:B$2000)*(Transactions!B$3:B$2000&gt;=DATE(2026,3,23))*(Transactions!B$3:B$2000&lt;=DATE(2026,3,31))*(Transactions!D$3:D$2000)),0)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IFERROR(SUMPRODUCT((Transactions!E$3:E$2000="Subscriptions")*ISNUMBER(Transactions!B$3:B$2000)*(Transactions!B$3:B$2000&gt;=DATE(2026,3,1))*(Transactions!B$3:B$2000&lt;=DATE(2026,3,7))*(Transactions!D$3:D$2000)),0)</f>
        <v>0</v>
      </c>
      <c r="E14" s="190">
        <f>IFERROR(SUMPRODUCT((Transactions!E$3:E$2000="Subscriptions")*ISNUMBER(Transactions!B$3:B$2000)*(Transactions!B$3:B$2000&gt;=DATE(2026,3,8))*(Transactions!B$3:B$2000&lt;=DATE(2026,3,15))*(Transactions!D$3:D$2000)),0)</f>
        <v>0</v>
      </c>
      <c r="F14" s="191">
        <f>IFERROR(SUMPRODUCT((Transactions!E$3:E$2000="Subscriptions")*ISNUMBER(Transactions!B$3:B$2000)*(Transactions!B$3:B$2000&gt;=DATE(2026,3,16))*(Transactions!B$3:B$2000&lt;=DATE(2026,3,22))*(Transactions!D$3:D$2000)),0)</f>
        <v>0</v>
      </c>
      <c r="G14" s="192">
        <f>IFERROR(SUMPRODUCT((Transactions!E$3:E$2000="Subscriptions")*ISNUMBER(Transactions!B$3:B$2000)*(Transactions!B$3:B$2000&gt;=DATE(2026,3,23))*(Transactions!B$3:B$2000&lt;=DATE(2026,3,31))*(Transactions!D$3:D$2000)),0)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IFERROR(SUMPRODUCT((Transactions!E$3:E$2000="Savings")*ISNUMBER(Transactions!B$3:B$2000)*(Transactions!B$3:B$2000&gt;=DATE(2026,3,1))*(Transactions!B$3:B$2000&lt;=DATE(2026,3,7))*(Transactions!D$3:D$2000)),0)</f>
        <v>0</v>
      </c>
      <c r="E15" s="190">
        <f>IFERROR(SUMPRODUCT((Transactions!E$3:E$2000="Savings")*ISNUMBER(Transactions!B$3:B$2000)*(Transactions!B$3:B$2000&gt;=DATE(2026,3,8))*(Transactions!B$3:B$2000&lt;=DATE(2026,3,15))*(Transactions!D$3:D$2000)),0)</f>
        <v>0</v>
      </c>
      <c r="F15" s="191">
        <f>IFERROR(SUMPRODUCT((Transactions!E$3:E$2000="Savings")*ISNUMBER(Transactions!B$3:B$2000)*(Transactions!B$3:B$2000&gt;=DATE(2026,3,16))*(Transactions!B$3:B$2000&lt;=DATE(2026,3,22))*(Transactions!D$3:D$2000)),0)</f>
        <v>0</v>
      </c>
      <c r="G15" s="192">
        <f>IFERROR(SUMPRODUCT((Transactions!E$3:E$2000="Savings")*ISNUMBER(Transactions!B$3:B$2000)*(Transactions!B$3:B$2000&gt;=DATE(2026,3,23))*(Transactions!B$3:B$2000&lt;=DATE(2026,3,31))*(Transactions!D$3:D$2000)),0)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IFERROR(SUMPRODUCT((Transactions!E$3:E$2000="Other")*ISNUMBER(Transactions!B$3:B$2000)*(Transactions!B$3:B$2000&gt;=DATE(2026,3,1))*(Transactions!B$3:B$2000&lt;=DATE(2026,3,7))*(Transactions!D$3:D$2000)),0)</f>
        <v>0</v>
      </c>
      <c r="E16" s="190">
        <f>IFERROR(SUMPRODUCT((Transactions!E$3:E$2000="Other")*ISNUMBER(Transactions!B$3:B$2000)*(Transactions!B$3:B$2000&gt;=DATE(2026,3,8))*(Transactions!B$3:B$2000&lt;=DATE(2026,3,15))*(Transactions!D$3:D$2000)),0)</f>
        <v>0</v>
      </c>
      <c r="F16" s="191">
        <f>IFERROR(SUMPRODUCT((Transactions!E$3:E$2000="Other")*ISNUMBER(Transactions!B$3:B$2000)*(Transactions!B$3:B$2000&gt;=DATE(2026,3,16))*(Transactions!B$3:B$2000&lt;=DATE(2026,3,22))*(Transactions!D$3:D$2000)),0)</f>
        <v>0</v>
      </c>
      <c r="G16" s="192">
        <f>IFERROR(SUMPRODUCT((Transactions!E$3:E$2000="Other")*ISNUMBER(Transactions!B$3:B$2000)*(Transactions!B$3:B$2000&gt;=DATE(2026,3,23))*(Transactions!B$3:B$2000&lt;=DATE(2026,3,31))*(Transactions!D$3:D$2000)),0)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231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232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233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234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235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236</v>
      </c>
      <c r="E6" s="184" t="s">
        <v>237</v>
      </c>
      <c r="F6" s="185" t="s">
        <v>238</v>
      </c>
      <c r="G6" s="186" t="s">
        <v>239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IFERROR(SUMPRODUCT((Transactions!E$3:E$2000="Groceries")*ISNUMBER(Transactions!B$3:B$2000)*(Transactions!B$3:B$2000&gt;=DATE(2026,4,1))*(Transactions!B$3:B$2000&lt;=DATE(2026,4,7))*(Transactions!D$3:D$2000)),0)</f>
        <v>0</v>
      </c>
      <c r="E7" s="190">
        <f>IFERROR(SUMPRODUCT((Transactions!E$3:E$2000="Groceries")*ISNUMBER(Transactions!B$3:B$2000)*(Transactions!B$3:B$2000&gt;=DATE(2026,4,8))*(Transactions!B$3:B$2000&lt;=DATE(2026,4,15))*(Transactions!D$3:D$2000)),0)</f>
        <v>0</v>
      </c>
      <c r="F7" s="191">
        <f>IFERROR(SUMPRODUCT((Transactions!E$3:E$2000="Groceries")*ISNUMBER(Transactions!B$3:B$2000)*(Transactions!B$3:B$2000&gt;=DATE(2026,4,16))*(Transactions!B$3:B$2000&lt;=DATE(2026,4,22))*(Transactions!D$3:D$2000)),0)</f>
        <v>0</v>
      </c>
      <c r="G7" s="192">
        <f>IFERROR(SUMPRODUCT((Transactions!E$3:E$2000="Groceries")*ISNUMBER(Transactions!B$3:B$2000)*(Transactions!B$3:B$2000&gt;=DATE(2026,4,23))*(Transactions!B$3:B$2000&lt;=DATE(2026,4,30))*(Transactions!D$3:D$2000)),0)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Out")*ISNUMBER(Transactions!B$3:B$2000)*(Transactions!B$3:B$2000&gt;=DATE(2026,4,1))*(Transactions!B$3:B$2000&lt;=DATE(2026,4,7))*(Transactions!D$3:D$2000)),0)</f>
        <v>0</v>
      </c>
      <c r="E8" s="190">
        <f>IFERROR(SUMPRODUCT((Transactions!E$3:E$2000="Dining Out")*ISNUMBER(Transactions!B$3:B$2000)*(Transactions!B$3:B$2000&gt;=DATE(2026,4,8))*(Transactions!B$3:B$2000&lt;=DATE(2026,4,15))*(Transactions!D$3:D$2000)),0)</f>
        <v>0</v>
      </c>
      <c r="F8" s="191">
        <f>IFERROR(SUMPRODUCT((Transactions!E$3:E$2000="Dining Out")*ISNUMBER(Transactions!B$3:B$2000)*(Transactions!B$3:B$2000&gt;=DATE(2026,4,16))*(Transactions!B$3:B$2000&lt;=DATE(2026,4,22))*(Transactions!D$3:D$2000)),0)</f>
        <v>0</v>
      </c>
      <c r="G8" s="192">
        <f>IFERROR(SUMPRODUCT((Transactions!E$3:E$2000="Dining Out")*ISNUMBER(Transactions!B$3:B$2000)*(Transactions!B$3:B$2000&gt;=DATE(2026,4,23))*(Transactions!B$3:B$2000&lt;=DATE(2026,4,30))*(Transactions!D$3:D$2000)),0)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IFERROR(SUMPRODUCT((Transactions!E$3:E$2000="Fuel")*ISNUMBER(Transactions!B$3:B$2000)*(Transactions!B$3:B$2000&gt;=DATE(2026,4,1))*(Transactions!B$3:B$2000&lt;=DATE(2026,4,7))*(Transactions!D$3:D$2000)),0)</f>
        <v>0</v>
      </c>
      <c r="E9" s="190">
        <f>IFERROR(SUMPRODUCT((Transactions!E$3:E$2000="Fuel")*ISNUMBER(Transactions!B$3:B$2000)*(Transactions!B$3:B$2000&gt;=DATE(2026,4,8))*(Transactions!B$3:B$2000&lt;=DATE(2026,4,15))*(Transactions!D$3:D$2000)),0)</f>
        <v>0</v>
      </c>
      <c r="F9" s="191">
        <f>IFERROR(SUMPRODUCT((Transactions!E$3:E$2000="Fuel")*ISNUMBER(Transactions!B$3:B$2000)*(Transactions!B$3:B$2000&gt;=DATE(2026,4,16))*(Transactions!B$3:B$2000&lt;=DATE(2026,4,22))*(Transactions!D$3:D$2000)),0)</f>
        <v>0</v>
      </c>
      <c r="G9" s="192">
        <f>IFERROR(SUMPRODUCT((Transactions!E$3:E$2000="Fuel")*ISNUMBER(Transactions!B$3:B$2000)*(Transactions!B$3:B$2000&gt;=DATE(2026,4,23))*(Transactions!B$3:B$2000&lt;=DATE(2026,4,30))*(Transactions!D$3:D$2000)),0)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IFERROR(SUMPRODUCT((Transactions!E$3:E$2000="Coffee")*ISNUMBER(Transactions!B$3:B$2000)*(Transactions!B$3:B$2000&gt;=DATE(2026,4,1))*(Transactions!B$3:B$2000&lt;=DATE(2026,4,7))*(Transactions!D$3:D$2000)),0)</f>
        <v>0</v>
      </c>
      <c r="E10" s="190">
        <f>IFERROR(SUMPRODUCT((Transactions!E$3:E$2000="Coffee")*ISNUMBER(Transactions!B$3:B$2000)*(Transactions!B$3:B$2000&gt;=DATE(2026,4,8))*(Transactions!B$3:B$2000&lt;=DATE(2026,4,15))*(Transactions!D$3:D$2000)),0)</f>
        <v>0</v>
      </c>
      <c r="F10" s="191">
        <f>IFERROR(SUMPRODUCT((Transactions!E$3:E$2000="Coffee")*ISNUMBER(Transactions!B$3:B$2000)*(Transactions!B$3:B$2000&gt;=DATE(2026,4,16))*(Transactions!B$3:B$2000&lt;=DATE(2026,4,22))*(Transactions!D$3:D$2000)),0)</f>
        <v>0</v>
      </c>
      <c r="G10" s="192">
        <f>IFERROR(SUMPRODUCT((Transactions!E$3:E$2000="Coffee")*ISNUMBER(Transactions!B$3:B$2000)*(Transactions!B$3:B$2000&gt;=DATE(2026,4,23))*(Transactions!B$3:B$2000&lt;=DATE(2026,4,30))*(Transactions!D$3:D$2000)),0)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IFERROR(SUMPRODUCT((Transactions!E$3:E$2000="Entertainment")*ISNUMBER(Transactions!B$3:B$2000)*(Transactions!B$3:B$2000&gt;=DATE(2026,4,1))*(Transactions!B$3:B$2000&lt;=DATE(2026,4,7))*(Transactions!D$3:D$2000)),0)</f>
        <v>0</v>
      </c>
      <c r="E11" s="190">
        <f>IFERROR(SUMPRODUCT((Transactions!E$3:E$2000="Entertainment")*ISNUMBER(Transactions!B$3:B$2000)*(Transactions!B$3:B$2000&gt;=DATE(2026,4,8))*(Transactions!B$3:B$2000&lt;=DATE(2026,4,15))*(Transactions!D$3:D$2000)),0)</f>
        <v>0</v>
      </c>
      <c r="F11" s="191">
        <f>IFERROR(SUMPRODUCT((Transactions!E$3:E$2000="Entertainment")*ISNUMBER(Transactions!B$3:B$2000)*(Transactions!B$3:B$2000&gt;=DATE(2026,4,16))*(Transactions!B$3:B$2000&lt;=DATE(2026,4,22))*(Transactions!D$3:D$2000)),0)</f>
        <v>0</v>
      </c>
      <c r="G11" s="192">
        <f>IFERROR(SUMPRODUCT((Transactions!E$3:E$2000="Entertainment")*ISNUMBER(Transactions!B$3:B$2000)*(Transactions!B$3:B$2000&gt;=DATE(2026,4,23))*(Transactions!B$3:B$2000&lt;=DATE(2026,4,30))*(Transactions!D$3:D$2000)),0)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Care")*ISNUMBER(Transactions!B$3:B$2000)*(Transactions!B$3:B$2000&gt;=DATE(2026,4,1))*(Transactions!B$3:B$2000&lt;=DATE(2026,4,7))*(Transactions!D$3:D$2000)),0)</f>
        <v>0</v>
      </c>
      <c r="E12" s="190">
        <f>IFERROR(SUMPRODUCT((Transactions!E$3:E$2000="Personal Care")*ISNUMBER(Transactions!B$3:B$2000)*(Transactions!B$3:B$2000&gt;=DATE(2026,4,8))*(Transactions!B$3:B$2000&lt;=DATE(2026,4,15))*(Transactions!D$3:D$2000)),0)</f>
        <v>0</v>
      </c>
      <c r="F12" s="191">
        <f>IFERROR(SUMPRODUCT((Transactions!E$3:E$2000="Personal Care")*ISNUMBER(Transactions!B$3:B$2000)*(Transactions!B$3:B$2000&gt;=DATE(2026,4,16))*(Transactions!B$3:B$2000&lt;=DATE(2026,4,22))*(Transactions!D$3:D$2000)),0)</f>
        <v>0</v>
      </c>
      <c r="G12" s="192">
        <f>IFERROR(SUMPRODUCT((Transactions!E$3:E$2000="Personal Care")*ISNUMBER(Transactions!B$3:B$2000)*(Transactions!B$3:B$2000&gt;=DATE(2026,4,23))*(Transactions!B$3:B$2000&lt;=DATE(2026,4,30))*(Transactions!D$3:D$2000)),0)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IFERROR(SUMPRODUCT((Transactions!E$3:E$2000="Miscellaneous")*ISNUMBER(Transactions!B$3:B$2000)*(Transactions!B$3:B$2000&gt;=DATE(2026,4,1))*(Transactions!B$3:B$2000&lt;=DATE(2026,4,7))*(Transactions!D$3:D$2000)),0)</f>
        <v>0</v>
      </c>
      <c r="E13" s="190">
        <f>IFERROR(SUMPRODUCT((Transactions!E$3:E$2000="Miscellaneous")*ISNUMBER(Transactions!B$3:B$2000)*(Transactions!B$3:B$2000&gt;=DATE(2026,4,8))*(Transactions!B$3:B$2000&lt;=DATE(2026,4,15))*(Transactions!D$3:D$2000)),0)</f>
        <v>0</v>
      </c>
      <c r="F13" s="191">
        <f>IFERROR(SUMPRODUCT((Transactions!E$3:E$2000="Miscellaneous")*ISNUMBER(Transactions!B$3:B$2000)*(Transactions!B$3:B$2000&gt;=DATE(2026,4,16))*(Transactions!B$3:B$2000&lt;=DATE(2026,4,22))*(Transactions!D$3:D$2000)),0)</f>
        <v>0</v>
      </c>
      <c r="G13" s="192">
        <f>IFERROR(SUMPRODUCT((Transactions!E$3:E$2000="Miscellaneous")*ISNUMBER(Transactions!B$3:B$2000)*(Transactions!B$3:B$2000&gt;=DATE(2026,4,23))*(Transactions!B$3:B$2000&lt;=DATE(2026,4,30))*(Transactions!D$3:D$2000)),0)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IFERROR(SUMPRODUCT((Transactions!E$3:E$2000="Subscriptions")*ISNUMBER(Transactions!B$3:B$2000)*(Transactions!B$3:B$2000&gt;=DATE(2026,4,1))*(Transactions!B$3:B$2000&lt;=DATE(2026,4,7))*(Transactions!D$3:D$2000)),0)</f>
        <v>0</v>
      </c>
      <c r="E14" s="190">
        <f>IFERROR(SUMPRODUCT((Transactions!E$3:E$2000="Subscriptions")*ISNUMBER(Transactions!B$3:B$2000)*(Transactions!B$3:B$2000&gt;=DATE(2026,4,8))*(Transactions!B$3:B$2000&lt;=DATE(2026,4,15))*(Transactions!D$3:D$2000)),0)</f>
        <v>0</v>
      </c>
      <c r="F14" s="191">
        <f>IFERROR(SUMPRODUCT((Transactions!E$3:E$2000="Subscriptions")*ISNUMBER(Transactions!B$3:B$2000)*(Transactions!B$3:B$2000&gt;=DATE(2026,4,16))*(Transactions!B$3:B$2000&lt;=DATE(2026,4,22))*(Transactions!D$3:D$2000)),0)</f>
        <v>0</v>
      </c>
      <c r="G14" s="192">
        <f>IFERROR(SUMPRODUCT((Transactions!E$3:E$2000="Subscriptions")*ISNUMBER(Transactions!B$3:B$2000)*(Transactions!B$3:B$2000&gt;=DATE(2026,4,23))*(Transactions!B$3:B$2000&lt;=DATE(2026,4,30))*(Transactions!D$3:D$2000)),0)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IFERROR(SUMPRODUCT((Transactions!E$3:E$2000="Savings")*ISNUMBER(Transactions!B$3:B$2000)*(Transactions!B$3:B$2000&gt;=DATE(2026,4,1))*(Transactions!B$3:B$2000&lt;=DATE(2026,4,7))*(Transactions!D$3:D$2000)),0)</f>
        <v>0</v>
      </c>
      <c r="E15" s="190">
        <f>IFERROR(SUMPRODUCT((Transactions!E$3:E$2000="Savings")*ISNUMBER(Transactions!B$3:B$2000)*(Transactions!B$3:B$2000&gt;=DATE(2026,4,8))*(Transactions!B$3:B$2000&lt;=DATE(2026,4,15))*(Transactions!D$3:D$2000)),0)</f>
        <v>0</v>
      </c>
      <c r="F15" s="191">
        <f>IFERROR(SUMPRODUCT((Transactions!E$3:E$2000="Savings")*ISNUMBER(Transactions!B$3:B$2000)*(Transactions!B$3:B$2000&gt;=DATE(2026,4,16))*(Transactions!B$3:B$2000&lt;=DATE(2026,4,22))*(Transactions!D$3:D$2000)),0)</f>
        <v>0</v>
      </c>
      <c r="G15" s="192">
        <f>IFERROR(SUMPRODUCT((Transactions!E$3:E$2000="Savings")*ISNUMBER(Transactions!B$3:B$2000)*(Transactions!B$3:B$2000&gt;=DATE(2026,4,23))*(Transactions!B$3:B$2000&lt;=DATE(2026,4,30))*(Transactions!D$3:D$2000)),0)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IFERROR(SUMPRODUCT((Transactions!E$3:E$2000="Other")*ISNUMBER(Transactions!B$3:B$2000)*(Transactions!B$3:B$2000&gt;=DATE(2026,4,1))*(Transactions!B$3:B$2000&lt;=DATE(2026,4,7))*(Transactions!D$3:D$2000)),0)</f>
        <v>0</v>
      </c>
      <c r="E16" s="190">
        <f>IFERROR(SUMPRODUCT((Transactions!E$3:E$2000="Other")*ISNUMBER(Transactions!B$3:B$2000)*(Transactions!B$3:B$2000&gt;=DATE(2026,4,8))*(Transactions!B$3:B$2000&lt;=DATE(2026,4,15))*(Transactions!D$3:D$2000)),0)</f>
        <v>0</v>
      </c>
      <c r="F16" s="191">
        <f>IFERROR(SUMPRODUCT((Transactions!E$3:E$2000="Other")*ISNUMBER(Transactions!B$3:B$2000)*(Transactions!B$3:B$2000&gt;=DATE(2026,4,16))*(Transactions!B$3:B$2000&lt;=DATE(2026,4,22))*(Transactions!D$3:D$2000)),0)</f>
        <v>0</v>
      </c>
      <c r="G16" s="192">
        <f>IFERROR(SUMPRODUCT((Transactions!E$3:E$2000="Other")*ISNUMBER(Transactions!B$3:B$2000)*(Transactions!B$3:B$2000&gt;=DATE(2026,4,23))*(Transactions!B$3:B$2000&lt;=DATE(2026,4,30))*(Transactions!D$3:D$2000)),0)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240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241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242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243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244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245</v>
      </c>
      <c r="E6" s="184" t="s">
        <v>246</v>
      </c>
      <c r="F6" s="185" t="s">
        <v>247</v>
      </c>
      <c r="G6" s="186" t="s">
        <v>248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IFERROR(SUMPRODUCT((Transactions!E$3:E$2000="Groceries")*ISNUMBER(Transactions!B$3:B$2000)*(Transactions!B$3:B$2000&gt;=DATE(2026,5,1))*(Transactions!B$3:B$2000&lt;=DATE(2026,5,7))*(Transactions!D$3:D$2000)),0)</f>
        <v>0</v>
      </c>
      <c r="E7" s="190">
        <f>IFERROR(SUMPRODUCT((Transactions!E$3:E$2000="Groceries")*ISNUMBER(Transactions!B$3:B$2000)*(Transactions!B$3:B$2000&gt;=DATE(2026,5,8))*(Transactions!B$3:B$2000&lt;=DATE(2026,5,15))*(Transactions!D$3:D$2000)),0)</f>
        <v>0</v>
      </c>
      <c r="F7" s="191">
        <f>IFERROR(SUMPRODUCT((Transactions!E$3:E$2000="Groceries")*ISNUMBER(Transactions!B$3:B$2000)*(Transactions!B$3:B$2000&gt;=DATE(2026,5,16))*(Transactions!B$3:B$2000&lt;=DATE(2026,5,22))*(Transactions!D$3:D$2000)),0)</f>
        <v>0</v>
      </c>
      <c r="G7" s="192">
        <f>IFERROR(SUMPRODUCT((Transactions!E$3:E$2000="Groceries")*ISNUMBER(Transactions!B$3:B$2000)*(Transactions!B$3:B$2000&gt;=DATE(2026,5,23))*(Transactions!B$3:B$2000&lt;=DATE(2026,5,31))*(Transactions!D$3:D$2000)),0)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Out")*ISNUMBER(Transactions!B$3:B$2000)*(Transactions!B$3:B$2000&gt;=DATE(2026,5,1))*(Transactions!B$3:B$2000&lt;=DATE(2026,5,7))*(Transactions!D$3:D$2000)),0)</f>
        <v>0</v>
      </c>
      <c r="E8" s="190">
        <f>IFERROR(SUMPRODUCT((Transactions!E$3:E$2000="Dining Out")*ISNUMBER(Transactions!B$3:B$2000)*(Transactions!B$3:B$2000&gt;=DATE(2026,5,8))*(Transactions!B$3:B$2000&lt;=DATE(2026,5,15))*(Transactions!D$3:D$2000)),0)</f>
        <v>7.7</v>
      </c>
      <c r="F8" s="191">
        <f>IFERROR(SUMPRODUCT((Transactions!E$3:E$2000="Dining Out")*ISNUMBER(Transactions!B$3:B$2000)*(Transactions!B$3:B$2000&gt;=DATE(2026,5,16))*(Transactions!B$3:B$2000&lt;=DATE(2026,5,22))*(Transactions!D$3:D$2000)),0)</f>
        <v>5.3</v>
      </c>
      <c r="G8" s="192">
        <f>IFERROR(SUMPRODUCT((Transactions!E$3:E$2000="Dining Out")*ISNUMBER(Transactions!B$3:B$2000)*(Transactions!B$3:B$2000&gt;=DATE(2026,5,23))*(Transactions!B$3:B$2000&lt;=DATE(2026,5,31))*(Transactions!D$3:D$2000)),0)</f>
        <v>0</v>
      </c>
      <c r="H8" s="198">
        <f t="shared" si="1"/>
        <v>13</v>
      </c>
      <c r="I8" s="198">
        <f t="shared" si="2"/>
        <v>87</v>
      </c>
      <c r="J8" s="199">
        <f t="shared" si="3"/>
        <v>0.13</v>
      </c>
      <c r="K8" s="200" t="str">
        <f t="shared" si="4"/>
        <v>✅ On track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IFERROR(SUMPRODUCT((Transactions!E$3:E$2000="Fuel")*ISNUMBER(Transactions!B$3:B$2000)*(Transactions!B$3:B$2000&gt;=DATE(2026,5,1))*(Transactions!B$3:B$2000&lt;=DATE(2026,5,7))*(Transactions!D$3:D$2000)),0)</f>
        <v>0</v>
      </c>
      <c r="E9" s="190">
        <f>IFERROR(SUMPRODUCT((Transactions!E$3:E$2000="Fuel")*ISNUMBER(Transactions!B$3:B$2000)*(Transactions!B$3:B$2000&gt;=DATE(2026,5,8))*(Transactions!B$3:B$2000&lt;=DATE(2026,5,15))*(Transactions!D$3:D$2000)),0)</f>
        <v>10</v>
      </c>
      <c r="F9" s="191">
        <f>IFERROR(SUMPRODUCT((Transactions!E$3:E$2000="Fuel")*ISNUMBER(Transactions!B$3:B$2000)*(Transactions!B$3:B$2000&gt;=DATE(2026,5,16))*(Transactions!B$3:B$2000&lt;=DATE(2026,5,22))*(Transactions!D$3:D$2000)),0)</f>
        <v>5</v>
      </c>
      <c r="G9" s="192">
        <f>IFERROR(SUMPRODUCT((Transactions!E$3:E$2000="Fuel")*ISNUMBER(Transactions!B$3:B$2000)*(Transactions!B$3:B$2000&gt;=DATE(2026,5,23))*(Transactions!B$3:B$2000&lt;=DATE(2026,5,31))*(Transactions!D$3:D$2000)),0)</f>
        <v>0</v>
      </c>
      <c r="H9" s="193">
        <f t="shared" si="1"/>
        <v>15</v>
      </c>
      <c r="I9" s="193">
        <f t="shared" si="2"/>
        <v>60</v>
      </c>
      <c r="J9" s="194">
        <f t="shared" si="3"/>
        <v>0.2</v>
      </c>
      <c r="K9" s="195" t="str">
        <f t="shared" si="4"/>
        <v>✅ On track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IFERROR(SUMPRODUCT((Transactions!E$3:E$2000="Coffee")*ISNUMBER(Transactions!B$3:B$2000)*(Transactions!B$3:B$2000&gt;=DATE(2026,5,1))*(Transactions!B$3:B$2000&lt;=DATE(2026,5,7))*(Transactions!D$3:D$2000)),0)</f>
        <v>0</v>
      </c>
      <c r="E10" s="190">
        <f>IFERROR(SUMPRODUCT((Transactions!E$3:E$2000="Coffee")*ISNUMBER(Transactions!B$3:B$2000)*(Transactions!B$3:B$2000&gt;=DATE(2026,5,8))*(Transactions!B$3:B$2000&lt;=DATE(2026,5,15))*(Transactions!D$3:D$2000)),0)</f>
        <v>4.2</v>
      </c>
      <c r="F10" s="191">
        <f>IFERROR(SUMPRODUCT((Transactions!E$3:E$2000="Coffee")*ISNUMBER(Transactions!B$3:B$2000)*(Transactions!B$3:B$2000&gt;=DATE(2026,5,16))*(Transactions!B$3:B$2000&lt;=DATE(2026,5,22))*(Transactions!D$3:D$2000)),0)</f>
        <v>1.6</v>
      </c>
      <c r="G10" s="192">
        <f>IFERROR(SUMPRODUCT((Transactions!E$3:E$2000="Coffee")*ISNUMBER(Transactions!B$3:B$2000)*(Transactions!B$3:B$2000&gt;=DATE(2026,5,23))*(Transactions!B$3:B$2000&lt;=DATE(2026,5,31))*(Transactions!D$3:D$2000)),0)</f>
        <v>0</v>
      </c>
      <c r="H10" s="198">
        <f t="shared" si="1"/>
        <v>5.8</v>
      </c>
      <c r="I10" s="198">
        <f t="shared" si="2"/>
        <v>44.2</v>
      </c>
      <c r="J10" s="199">
        <f t="shared" si="3"/>
        <v>0.116</v>
      </c>
      <c r="K10" s="200" t="str">
        <f t="shared" si="4"/>
        <v>✅ On track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IFERROR(SUMPRODUCT((Transactions!E$3:E$2000="Entertainment")*ISNUMBER(Transactions!B$3:B$2000)*(Transactions!B$3:B$2000&gt;=DATE(2026,5,1))*(Transactions!B$3:B$2000&lt;=DATE(2026,5,7))*(Transactions!D$3:D$2000)),0)</f>
        <v>0</v>
      </c>
      <c r="E11" s="190">
        <f>IFERROR(SUMPRODUCT((Transactions!E$3:E$2000="Entertainment")*ISNUMBER(Transactions!B$3:B$2000)*(Transactions!B$3:B$2000&gt;=DATE(2026,5,8))*(Transactions!B$3:B$2000&lt;=DATE(2026,5,15))*(Transactions!D$3:D$2000)),0)</f>
        <v>0</v>
      </c>
      <c r="F11" s="191">
        <f>IFERROR(SUMPRODUCT((Transactions!E$3:E$2000="Entertainment")*ISNUMBER(Transactions!B$3:B$2000)*(Transactions!B$3:B$2000&gt;=DATE(2026,5,16))*(Transactions!B$3:B$2000&lt;=DATE(2026,5,22))*(Transactions!D$3:D$2000)),0)</f>
        <v>0</v>
      </c>
      <c r="G11" s="192">
        <f>IFERROR(SUMPRODUCT((Transactions!E$3:E$2000="Entertainment")*ISNUMBER(Transactions!B$3:B$2000)*(Transactions!B$3:B$2000&gt;=DATE(2026,5,23))*(Transactions!B$3:B$2000&lt;=DATE(2026,5,31))*(Transactions!D$3:D$2000)),0)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Care")*ISNUMBER(Transactions!B$3:B$2000)*(Transactions!B$3:B$2000&gt;=DATE(2026,5,1))*(Transactions!B$3:B$2000&lt;=DATE(2026,5,7))*(Transactions!D$3:D$2000)),0)</f>
        <v>0</v>
      </c>
      <c r="E12" s="190">
        <f>IFERROR(SUMPRODUCT((Transactions!E$3:E$2000="Personal Care")*ISNUMBER(Transactions!B$3:B$2000)*(Transactions!B$3:B$2000&gt;=DATE(2026,5,8))*(Transactions!B$3:B$2000&lt;=DATE(2026,5,15))*(Transactions!D$3:D$2000)),0)</f>
        <v>0</v>
      </c>
      <c r="F12" s="191">
        <f>IFERROR(SUMPRODUCT((Transactions!E$3:E$2000="Personal Care")*ISNUMBER(Transactions!B$3:B$2000)*(Transactions!B$3:B$2000&gt;=DATE(2026,5,16))*(Transactions!B$3:B$2000&lt;=DATE(2026,5,22))*(Transactions!D$3:D$2000)),0)</f>
        <v>0</v>
      </c>
      <c r="G12" s="192">
        <f>IFERROR(SUMPRODUCT((Transactions!E$3:E$2000="Personal Care")*ISNUMBER(Transactions!B$3:B$2000)*(Transactions!B$3:B$2000&gt;=DATE(2026,5,23))*(Transactions!B$3:B$2000&lt;=DATE(2026,5,31))*(Transactions!D$3:D$2000)),0)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IFERROR(SUMPRODUCT((Transactions!E$3:E$2000="Miscellaneous")*ISNUMBER(Transactions!B$3:B$2000)*(Transactions!B$3:B$2000&gt;=DATE(2026,5,1))*(Transactions!B$3:B$2000&lt;=DATE(2026,5,7))*(Transactions!D$3:D$2000)),0)</f>
        <v>0</v>
      </c>
      <c r="E13" s="190">
        <f>IFERROR(SUMPRODUCT((Transactions!E$3:E$2000="Miscellaneous")*ISNUMBER(Transactions!B$3:B$2000)*(Transactions!B$3:B$2000&gt;=DATE(2026,5,8))*(Transactions!B$3:B$2000&lt;=DATE(2026,5,15))*(Transactions!D$3:D$2000)),0)</f>
        <v>0</v>
      </c>
      <c r="F13" s="191">
        <f>IFERROR(SUMPRODUCT((Transactions!E$3:E$2000="Miscellaneous")*ISNUMBER(Transactions!B$3:B$2000)*(Transactions!B$3:B$2000&gt;=DATE(2026,5,16))*(Transactions!B$3:B$2000&lt;=DATE(2026,5,22))*(Transactions!D$3:D$2000)),0)</f>
        <v>70</v>
      </c>
      <c r="G13" s="192">
        <f>IFERROR(SUMPRODUCT((Transactions!E$3:E$2000="Miscellaneous")*ISNUMBER(Transactions!B$3:B$2000)*(Transactions!B$3:B$2000&gt;=DATE(2026,5,23))*(Transactions!B$3:B$2000&lt;=DATE(2026,5,31))*(Transactions!D$3:D$2000)),0)</f>
        <v>0</v>
      </c>
      <c r="H13" s="193">
        <f t="shared" si="1"/>
        <v>70</v>
      </c>
      <c r="I13" s="193">
        <f t="shared" si="2"/>
        <v>-30</v>
      </c>
      <c r="J13" s="194">
        <f t="shared" si="3"/>
        <v>1.75</v>
      </c>
      <c r="K13" s="195" t="str">
        <f t="shared" si="4"/>
        <v>❌ Over budget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IFERROR(SUMPRODUCT((Transactions!E$3:E$2000="Subscriptions")*ISNUMBER(Transactions!B$3:B$2000)*(Transactions!B$3:B$2000&gt;=DATE(2026,5,1))*(Transactions!B$3:B$2000&lt;=DATE(2026,5,7))*(Transactions!D$3:D$2000)),0)</f>
        <v>0</v>
      </c>
      <c r="E14" s="190">
        <f>IFERROR(SUMPRODUCT((Transactions!E$3:E$2000="Subscriptions")*ISNUMBER(Transactions!B$3:B$2000)*(Transactions!B$3:B$2000&gt;=DATE(2026,5,8))*(Transactions!B$3:B$2000&lt;=DATE(2026,5,15))*(Transactions!D$3:D$2000)),0)</f>
        <v>30</v>
      </c>
      <c r="F14" s="191">
        <f>IFERROR(SUMPRODUCT((Transactions!E$3:E$2000="Subscriptions")*ISNUMBER(Transactions!B$3:B$2000)*(Transactions!B$3:B$2000&gt;=DATE(2026,5,16))*(Transactions!B$3:B$2000&lt;=DATE(2026,5,22))*(Transactions!D$3:D$2000)),0)</f>
        <v>0</v>
      </c>
      <c r="G14" s="192">
        <f>IFERROR(SUMPRODUCT((Transactions!E$3:E$2000="Subscriptions")*ISNUMBER(Transactions!B$3:B$2000)*(Transactions!B$3:B$2000&gt;=DATE(2026,5,23))*(Transactions!B$3:B$2000&lt;=DATE(2026,5,31))*(Transactions!D$3:D$2000)),0)</f>
        <v>0</v>
      </c>
      <c r="H14" s="198">
        <f t="shared" si="1"/>
        <v>30</v>
      </c>
      <c r="I14" s="198">
        <f t="shared" si="2"/>
        <v>-20</v>
      </c>
      <c r="J14" s="199">
        <f t="shared" si="3"/>
        <v>3</v>
      </c>
      <c r="K14" s="200" t="str">
        <f t="shared" si="4"/>
        <v>❌ Over budget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IFERROR(SUMPRODUCT((Transactions!E$3:E$2000="Savings")*ISNUMBER(Transactions!B$3:B$2000)*(Transactions!B$3:B$2000&gt;=DATE(2026,5,1))*(Transactions!B$3:B$2000&lt;=DATE(2026,5,7))*(Transactions!D$3:D$2000)),0)</f>
        <v>0</v>
      </c>
      <c r="E15" s="190">
        <f>IFERROR(SUMPRODUCT((Transactions!E$3:E$2000="Savings")*ISNUMBER(Transactions!B$3:B$2000)*(Transactions!B$3:B$2000&gt;=DATE(2026,5,8))*(Transactions!B$3:B$2000&lt;=DATE(2026,5,15))*(Transactions!D$3:D$2000)),0)</f>
        <v>0</v>
      </c>
      <c r="F15" s="191">
        <f>IFERROR(SUMPRODUCT((Transactions!E$3:E$2000="Savings")*ISNUMBER(Transactions!B$3:B$2000)*(Transactions!B$3:B$2000&gt;=DATE(2026,5,16))*(Transactions!B$3:B$2000&lt;=DATE(2026,5,22))*(Transactions!D$3:D$2000)),0)</f>
        <v>0</v>
      </c>
      <c r="G15" s="192">
        <f>IFERROR(SUMPRODUCT((Transactions!E$3:E$2000="Savings")*ISNUMBER(Transactions!B$3:B$2000)*(Transactions!B$3:B$2000&gt;=DATE(2026,5,23))*(Transactions!B$3:B$2000&lt;=DATE(2026,5,31))*(Transactions!D$3:D$2000)),0)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IFERROR(SUMPRODUCT((Transactions!E$3:E$2000="Other")*ISNUMBER(Transactions!B$3:B$2000)*(Transactions!B$3:B$2000&gt;=DATE(2026,5,1))*(Transactions!B$3:B$2000&lt;=DATE(2026,5,7))*(Transactions!D$3:D$2000)),0)</f>
        <v>0</v>
      </c>
      <c r="E16" s="190">
        <f>IFERROR(SUMPRODUCT((Transactions!E$3:E$2000="Other")*ISNUMBER(Transactions!B$3:B$2000)*(Transactions!B$3:B$2000&gt;=DATE(2026,5,8))*(Transactions!B$3:B$2000&lt;=DATE(2026,5,15))*(Transactions!D$3:D$2000)),0)</f>
        <v>0</v>
      </c>
      <c r="F16" s="191">
        <f>IFERROR(SUMPRODUCT((Transactions!E$3:E$2000="Other")*ISNUMBER(Transactions!B$3:B$2000)*(Transactions!B$3:B$2000&gt;=DATE(2026,5,16))*(Transactions!B$3:B$2000&lt;=DATE(2026,5,22))*(Transactions!D$3:D$2000)),0)</f>
        <v>0</v>
      </c>
      <c r="G16" s="192">
        <f>IFERROR(SUMPRODUCT((Transactions!E$3:E$2000="Other")*ISNUMBER(Transactions!B$3:B$2000)*(Transactions!B$3:B$2000&gt;=DATE(2026,5,23))*(Transactions!B$3:B$2000&lt;=DATE(2026,5,31))*(Transactions!D$3:D$2000)),0)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51.9</v>
      </c>
      <c r="F17" s="202">
        <f t="shared" si="5"/>
        <v>81.9</v>
      </c>
      <c r="G17" s="202">
        <f t="shared" si="5"/>
        <v>0</v>
      </c>
      <c r="H17" s="202">
        <f t="shared" si="5"/>
        <v>133.8</v>
      </c>
      <c r="I17" s="202">
        <f t="shared" si="5"/>
        <v>326.2</v>
      </c>
      <c r="J17" s="203">
        <f t="shared" si="3"/>
        <v>0.2908695652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249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250</v>
      </c>
      <c r="D23" s="190">
        <f>SUM(E7:E16)</f>
        <v>51.9</v>
      </c>
      <c r="E23" s="190">
        <f>C17/4</f>
        <v>115</v>
      </c>
      <c r="F23" s="190">
        <f t="shared" si="6"/>
        <v>63.1</v>
      </c>
      <c r="G23" s="211" t="str">
        <f t="shared" si="7"/>
        <v>✅ Under</v>
      </c>
    </row>
    <row r="24" ht="15.75" customHeight="1">
      <c r="B24" s="212" t="s">
        <v>213</v>
      </c>
      <c r="C24" s="213" t="s">
        <v>251</v>
      </c>
      <c r="D24" s="191">
        <f>SUM(F7:F16)</f>
        <v>81.9</v>
      </c>
      <c r="E24" s="191">
        <f>C17/4</f>
        <v>115</v>
      </c>
      <c r="F24" s="191">
        <f t="shared" si="6"/>
        <v>33.1</v>
      </c>
      <c r="G24" s="214" t="str">
        <f t="shared" si="7"/>
        <v>✅ Under</v>
      </c>
    </row>
    <row r="25" ht="15.75" customHeight="1">
      <c r="B25" s="215" t="s">
        <v>215</v>
      </c>
      <c r="C25" s="216" t="s">
        <v>252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.43"/>
    <col customWidth="1" min="3" max="4" width="13.0"/>
    <col customWidth="1" min="5" max="5" width="11.57"/>
    <col customWidth="1" min="6" max="7" width="13.0"/>
    <col customWidth="1" min="8" max="8" width="24.86"/>
    <col customWidth="1" min="9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253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254</v>
      </c>
      <c r="E6" s="184" t="s">
        <v>255</v>
      </c>
      <c r="F6" s="185" t="s">
        <v>256</v>
      </c>
      <c r="G6" s="186" t="s">
        <v>257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218">
        <v>20.0</v>
      </c>
      <c r="D7" s="189">
        <f>IFERROR(SUMPRODUCT((Transactions!E$3:E$2000="Groceries")*ISNUMBER(Transactions!B$3:B$2000)*(Transactions!B$3:B$2000&gt;=DATE(2026,6,1))*(Transactions!B$3:B$2000&lt;=DATE(2026,6,7))*(Transactions!D$3:D$2000)),0)</f>
        <v>4.87</v>
      </c>
      <c r="E7" s="190">
        <f>IFERROR(SUMPRODUCT((Transactions!E$3:E$2000="Groceries")*ISNUMBER(Transactions!B$3:B$2000)*(Transactions!B$3:B$2000&gt;=DATE(2026,6,8))*(Transactions!B$3:B$2000&lt;=DATE(2026,6,15))*(Transactions!D$3:D$2000)),0)</f>
        <v>2.9</v>
      </c>
      <c r="F7" s="191">
        <f>IFERROR(SUMPRODUCT((Transactions!E$3:E$2000="Groceries")*ISNUMBER(Transactions!B$3:B$2000)*(Transactions!B$3:B$2000&gt;=DATE(2026,6,16))*(Transactions!B$3:B$2000&lt;=DATE(2026,6,22))*(Transactions!D$3:D$2000)),0)</f>
        <v>0</v>
      </c>
      <c r="G7" s="192">
        <f>IFERROR(SUMPRODUCT((Transactions!E$3:E$2000="Groceries")*ISNUMBER(Transactions!B$3:B$2000)*(Transactions!B$3:B$2000&gt;=DATE(2026,6,23))*(Transactions!B$3:B$2000&lt;=DATE(2026,6,30))*(Transactions!D$3:D$2000)),0)</f>
        <v>0</v>
      </c>
      <c r="H7" s="193">
        <f t="shared" ref="H7:H16" si="1">SUM(D7:G7)</f>
        <v>7.77</v>
      </c>
      <c r="I7" s="193">
        <f t="shared" ref="I7:I16" si="2">C7-H7</f>
        <v>12.23</v>
      </c>
      <c r="J7" s="194">
        <f t="shared" ref="J7:J17" si="3">IFERROR(H7/C7,0)</f>
        <v>0.3885</v>
      </c>
      <c r="K7" s="195" t="str">
        <f t="shared" ref="K7:K16" si="4">IF(C7=0,"—",IF(H7=0,"Not started",IF(H7&gt;=C7,"❌ Over budget",IF(H7/C7&gt;=0.8,"⚠️ Near limit","✅ On track"))))</f>
        <v>✅ On track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Out")*ISNUMBER(Transactions!B$3:B$2000)*(Transactions!B$3:B$2000&gt;=DATE(2026,6,1))*(Transactions!B$3:B$2000&lt;=DATE(2026,6,7))*(Transactions!D$3:D$2000)),0)</f>
        <v>20.25</v>
      </c>
      <c r="E8" s="190">
        <f>IFERROR(SUMPRODUCT((Transactions!E$3:E$2000="Dining Out")*ISNUMBER(Transactions!B$3:B$2000)*(Transactions!B$3:B$2000&gt;=DATE(2026,6,8))*(Transactions!B$3:B$2000&lt;=DATE(2026,6,15))*(Transactions!D$3:D$2000)),0)</f>
        <v>0</v>
      </c>
      <c r="F8" s="191">
        <f>IFERROR(SUMPRODUCT((Transactions!E$3:E$2000="Dining Out")*ISNUMBER(Transactions!B$3:B$2000)*(Transactions!B$3:B$2000&gt;=DATE(2026,6,16))*(Transactions!B$3:B$2000&lt;=DATE(2026,6,22))*(Transactions!D$3:D$2000)),0)</f>
        <v>0</v>
      </c>
      <c r="G8" s="192">
        <f>IFERROR(SUMPRODUCT((Transactions!E$3:E$2000="Dining Out")*ISNUMBER(Transactions!B$3:B$2000)*(Transactions!B$3:B$2000&gt;=DATE(2026,6,23))*(Transactions!B$3:B$2000&lt;=DATE(2026,6,30))*(Transactions!D$3:D$2000)),0)</f>
        <v>0</v>
      </c>
      <c r="H8" s="198">
        <f t="shared" si="1"/>
        <v>20.25</v>
      </c>
      <c r="I8" s="198">
        <f t="shared" si="2"/>
        <v>79.75</v>
      </c>
      <c r="J8" s="199">
        <f t="shared" si="3"/>
        <v>0.2025</v>
      </c>
      <c r="K8" s="200" t="str">
        <f t="shared" si="4"/>
        <v>✅ On track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IFERROR(SUMPRODUCT((Transactions!E$3:E$2000="Fuel")*ISNUMBER(Transactions!B$3:B$2000)*(Transactions!B$3:B$2000&gt;=DATE(2026,6,1))*(Transactions!B$3:B$2000&lt;=DATE(2026,6,7))*(Transactions!D$3:D$2000)),0)</f>
        <v>3</v>
      </c>
      <c r="E9" s="190">
        <f>IFERROR(SUMPRODUCT((Transactions!E$3:E$2000="Fuel")*ISNUMBER(Transactions!B$3:B$2000)*(Transactions!B$3:B$2000&gt;=DATE(2026,6,8))*(Transactions!B$3:B$2000&lt;=DATE(2026,6,15))*(Transactions!D$3:D$2000)),0)</f>
        <v>0</v>
      </c>
      <c r="F9" s="191">
        <f>IFERROR(SUMPRODUCT((Transactions!E$3:E$2000="Fuel")*ISNUMBER(Transactions!B$3:B$2000)*(Transactions!B$3:B$2000&gt;=DATE(2026,6,16))*(Transactions!B$3:B$2000&lt;=DATE(2026,6,22))*(Transactions!D$3:D$2000)),0)</f>
        <v>0</v>
      </c>
      <c r="G9" s="192">
        <f>IFERROR(SUMPRODUCT((Transactions!E$3:E$2000="Fuel")*ISNUMBER(Transactions!B$3:B$2000)*(Transactions!B$3:B$2000&gt;=DATE(2026,6,23))*(Transactions!B$3:B$2000&lt;=DATE(2026,6,30))*(Transactions!D$3:D$2000)),0)</f>
        <v>0</v>
      </c>
      <c r="H9" s="193">
        <f t="shared" si="1"/>
        <v>3</v>
      </c>
      <c r="I9" s="193">
        <f t="shared" si="2"/>
        <v>72</v>
      </c>
      <c r="J9" s="194">
        <f t="shared" si="3"/>
        <v>0.04</v>
      </c>
      <c r="K9" s="195" t="str">
        <f t="shared" si="4"/>
        <v>✅ On track</v>
      </c>
    </row>
    <row r="10" ht="18.0" customHeight="1">
      <c r="B10" s="196" t="s">
        <v>26</v>
      </c>
      <c r="C10" s="219">
        <v>30.0</v>
      </c>
      <c r="D10" s="189">
        <f>IFERROR(SUMPRODUCT((Transactions!E$3:E$2000="Coffee")*ISNUMBER(Transactions!B$3:B$2000)*(Transactions!B$3:B$2000&gt;=DATE(2026,6,1))*(Transactions!B$3:B$2000&lt;=DATE(2026,6,7))*(Transactions!D$3:D$2000)),0)</f>
        <v>13.1</v>
      </c>
      <c r="E10" s="190">
        <f>IFERROR(SUMPRODUCT((Transactions!E$3:E$2000="Coffee")*ISNUMBER(Transactions!B$3:B$2000)*(Transactions!B$3:B$2000&gt;=DATE(2026,6,8))*(Transactions!B$3:B$2000&lt;=DATE(2026,6,15))*(Transactions!D$3:D$2000)),0)</f>
        <v>1.9</v>
      </c>
      <c r="F10" s="191">
        <f>IFERROR(SUMPRODUCT((Transactions!E$3:E$2000="Coffee")*ISNUMBER(Transactions!B$3:B$2000)*(Transactions!B$3:B$2000&gt;=DATE(2026,6,16))*(Transactions!B$3:B$2000&lt;=DATE(2026,6,22))*(Transactions!D$3:D$2000)),0)</f>
        <v>0</v>
      </c>
      <c r="G10" s="192">
        <f>IFERROR(SUMPRODUCT((Transactions!E$3:E$2000="Coffee")*ISNUMBER(Transactions!B$3:B$2000)*(Transactions!B$3:B$2000&gt;=DATE(2026,6,23))*(Transactions!B$3:B$2000&lt;=DATE(2026,6,30))*(Transactions!D$3:D$2000)),0)</f>
        <v>0</v>
      </c>
      <c r="H10" s="198">
        <f t="shared" si="1"/>
        <v>15</v>
      </c>
      <c r="I10" s="198">
        <f t="shared" si="2"/>
        <v>15</v>
      </c>
      <c r="J10" s="199">
        <f t="shared" si="3"/>
        <v>0.5</v>
      </c>
      <c r="K10" s="200" t="str">
        <f t="shared" si="4"/>
        <v>✅ On track</v>
      </c>
    </row>
    <row r="11" ht="18.0" customHeight="1">
      <c r="B11" s="187" t="s">
        <v>27</v>
      </c>
      <c r="C11" s="218">
        <v>15.0</v>
      </c>
      <c r="D11" s="189">
        <f>IFERROR(SUMPRODUCT((Transactions!E$3:E$2000="Entertainment")*ISNUMBER(Transactions!B$3:B$2000)*(Transactions!B$3:B$2000&gt;=DATE(2026,6,1))*(Transactions!B$3:B$2000&lt;=DATE(2026,6,7))*(Transactions!D$3:D$2000)),0)</f>
        <v>1.5</v>
      </c>
      <c r="E11" s="190">
        <f>IFERROR(SUMPRODUCT((Transactions!E$3:E$2000="Entertainment")*ISNUMBER(Transactions!B$3:B$2000)*(Transactions!B$3:B$2000&gt;=DATE(2026,6,8))*(Transactions!B$3:B$2000&lt;=DATE(2026,6,15))*(Transactions!D$3:D$2000)),0)</f>
        <v>0</v>
      </c>
      <c r="F11" s="191">
        <f>IFERROR(SUMPRODUCT((Transactions!E$3:E$2000="Entertainment")*ISNUMBER(Transactions!B$3:B$2000)*(Transactions!B$3:B$2000&gt;=DATE(2026,6,16))*(Transactions!B$3:B$2000&lt;=DATE(2026,6,22))*(Transactions!D$3:D$2000)),0)</f>
        <v>0</v>
      </c>
      <c r="G11" s="192">
        <f>IFERROR(SUMPRODUCT((Transactions!E$3:E$2000="Entertainment")*ISNUMBER(Transactions!B$3:B$2000)*(Transactions!B$3:B$2000&gt;=DATE(2026,6,23))*(Transactions!B$3:B$2000&lt;=DATE(2026,6,30))*(Transactions!D$3:D$2000)),0)</f>
        <v>0</v>
      </c>
      <c r="H11" s="193">
        <f t="shared" si="1"/>
        <v>1.5</v>
      </c>
      <c r="I11" s="193">
        <f t="shared" si="2"/>
        <v>13.5</v>
      </c>
      <c r="J11" s="194">
        <f t="shared" si="3"/>
        <v>0.1</v>
      </c>
      <c r="K11" s="195" t="str">
        <f t="shared" si="4"/>
        <v>✅ On track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Care")*ISNUMBER(Transactions!B$3:B$2000)*(Transactions!B$3:B$2000&gt;=DATE(2026,6,1))*(Transactions!B$3:B$2000&lt;=DATE(2026,6,7))*(Transactions!D$3:D$2000)),0)</f>
        <v>1</v>
      </c>
      <c r="E12" s="190">
        <f>IFERROR(SUMPRODUCT((Transactions!E$3:E$2000="Personal Care")*ISNUMBER(Transactions!B$3:B$2000)*(Transactions!B$3:B$2000&gt;=DATE(2026,6,8))*(Transactions!B$3:B$2000&lt;=DATE(2026,6,15))*(Transactions!D$3:D$2000)),0)</f>
        <v>0</v>
      </c>
      <c r="F12" s="191">
        <f>IFERROR(SUMPRODUCT((Transactions!E$3:E$2000="Personal Care")*ISNUMBER(Transactions!B$3:B$2000)*(Transactions!B$3:B$2000&gt;=DATE(2026,6,16))*(Transactions!B$3:B$2000&lt;=DATE(2026,6,22))*(Transactions!D$3:D$2000)),0)</f>
        <v>0</v>
      </c>
      <c r="G12" s="192">
        <f>IFERROR(SUMPRODUCT((Transactions!E$3:E$2000="Personal Care")*ISNUMBER(Transactions!B$3:B$2000)*(Transactions!B$3:B$2000&gt;=DATE(2026,6,23))*(Transactions!B$3:B$2000&lt;=DATE(2026,6,30))*(Transactions!D$3:D$2000)),0)</f>
        <v>0</v>
      </c>
      <c r="H12" s="198">
        <f t="shared" si="1"/>
        <v>1</v>
      </c>
      <c r="I12" s="198">
        <f t="shared" si="2"/>
        <v>14</v>
      </c>
      <c r="J12" s="199">
        <f t="shared" si="3"/>
        <v>0.06666666667</v>
      </c>
      <c r="K12" s="200" t="str">
        <f t="shared" si="4"/>
        <v>✅ On track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IFERROR(SUMPRODUCT((Transactions!E$3:E$2000="Miscellaneous")*ISNUMBER(Transactions!B$3:B$2000)*(Transactions!B$3:B$2000&gt;=DATE(2026,6,1))*(Transactions!B$3:B$2000&lt;=DATE(2026,6,7))*(Transactions!D$3:D$2000)),0)</f>
        <v>0</v>
      </c>
      <c r="E13" s="190">
        <f>IFERROR(SUMPRODUCT((Transactions!E$3:E$2000="Miscellaneous")*ISNUMBER(Transactions!B$3:B$2000)*(Transactions!B$3:B$2000&gt;=DATE(2026,6,8))*(Transactions!B$3:B$2000&lt;=DATE(2026,6,15))*(Transactions!D$3:D$2000)),0)</f>
        <v>0</v>
      </c>
      <c r="F13" s="191">
        <f>IFERROR(SUMPRODUCT((Transactions!E$3:E$2000="Miscellaneous")*ISNUMBER(Transactions!B$3:B$2000)*(Transactions!B$3:B$2000&gt;=DATE(2026,6,16))*(Transactions!B$3:B$2000&lt;=DATE(2026,6,22))*(Transactions!D$3:D$2000)),0)</f>
        <v>0</v>
      </c>
      <c r="G13" s="192">
        <f>IFERROR(SUMPRODUCT((Transactions!E$3:E$2000="Miscellaneous")*ISNUMBER(Transactions!B$3:B$2000)*(Transactions!B$3:B$2000&gt;=DATE(2026,6,23))*(Transactions!B$3:B$2000&lt;=DATE(2026,6,30))*(Transactions!D$3:D$2000)),0)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219">
        <v>5.0</v>
      </c>
      <c r="D14" s="189">
        <f>IFERROR(SUMPRODUCT((Transactions!E$3:E$2000="Subscriptions")*ISNUMBER(Transactions!B$3:B$2000)*(Transactions!B$3:B$2000&gt;=DATE(2026,6,1))*(Transactions!B$3:B$2000&lt;=DATE(2026,6,7))*(Transactions!D$3:D$2000)),0)</f>
        <v>0</v>
      </c>
      <c r="E14" s="190">
        <f>IFERROR(SUMPRODUCT((Transactions!E$3:E$2000="Subscriptions")*ISNUMBER(Transactions!B$3:B$2000)*(Transactions!B$3:B$2000&gt;=DATE(2026,6,8))*(Transactions!B$3:B$2000&lt;=DATE(2026,6,15))*(Transactions!D$3:D$2000)),0)</f>
        <v>0</v>
      </c>
      <c r="F14" s="191">
        <f>IFERROR(SUMPRODUCT((Transactions!E$3:E$2000="Subscriptions")*ISNUMBER(Transactions!B$3:B$2000)*(Transactions!B$3:B$2000&gt;=DATE(2026,6,16))*(Transactions!B$3:B$2000&lt;=DATE(2026,6,22))*(Transactions!D$3:D$2000)),0)</f>
        <v>0</v>
      </c>
      <c r="G14" s="192">
        <f>IFERROR(SUMPRODUCT((Transactions!E$3:E$2000="Subscriptions")*ISNUMBER(Transactions!B$3:B$2000)*(Transactions!B$3:B$2000&gt;=DATE(2026,6,23))*(Transactions!B$3:B$2000&lt;=DATE(2026,6,30))*(Transactions!D$3:D$2000)),0)</f>
        <v>0</v>
      </c>
      <c r="H14" s="198">
        <f t="shared" si="1"/>
        <v>0</v>
      </c>
      <c r="I14" s="198">
        <f t="shared" si="2"/>
        <v>5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218">
        <v>160.0</v>
      </c>
      <c r="D15" s="189">
        <f>IFERROR(SUMPRODUCT((Transactions!E$3:E$2000="Savings")*ISNUMBER(Transactions!B$3:B$2000)*(Transactions!B$3:B$2000&gt;=DATE(2026,6,1))*(Transactions!B$3:B$2000&lt;=DATE(2026,6,7))*(Transactions!D$3:D$2000)),0)</f>
        <v>84</v>
      </c>
      <c r="E15" s="190">
        <f>IFERROR(SUMPRODUCT((Transactions!E$3:E$2000="Savings")*ISNUMBER(Transactions!B$3:B$2000)*(Transactions!B$3:B$2000&gt;=DATE(2026,6,8))*(Transactions!B$3:B$2000&lt;=DATE(2026,6,15))*(Transactions!D$3:D$2000)),0)</f>
        <v>0</v>
      </c>
      <c r="F15" s="191">
        <f>IFERROR(SUMPRODUCT((Transactions!E$3:E$2000="Savings")*ISNUMBER(Transactions!B$3:B$2000)*(Transactions!B$3:B$2000&gt;=DATE(2026,6,16))*(Transactions!B$3:B$2000&lt;=DATE(2026,6,22))*(Transactions!D$3:D$2000)),0)</f>
        <v>0</v>
      </c>
      <c r="G15" s="192">
        <f>IFERROR(SUMPRODUCT((Transactions!E$3:E$2000="Savings")*ISNUMBER(Transactions!B$3:B$2000)*(Transactions!B$3:B$2000&gt;=DATE(2026,6,23))*(Transactions!B$3:B$2000&lt;=DATE(2026,6,30))*(Transactions!D$3:D$2000)),0)</f>
        <v>0</v>
      </c>
      <c r="H15" s="193">
        <f t="shared" si="1"/>
        <v>84</v>
      </c>
      <c r="I15" s="193">
        <f t="shared" si="2"/>
        <v>76</v>
      </c>
      <c r="J15" s="194">
        <f t="shared" si="3"/>
        <v>0.525</v>
      </c>
      <c r="K15" s="195" t="str">
        <f t="shared" si="4"/>
        <v>✅ On track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IFERROR(SUMPRODUCT((Transactions!E$3:E$2000="Other")*ISNUMBER(Transactions!B$3:B$2000)*(Transactions!B$3:B$2000&gt;=DATE(2026,6,1))*(Transactions!B$3:B$2000&lt;=DATE(2026,6,7))*(Transactions!D$3:D$2000)),0)</f>
        <v>22.5</v>
      </c>
      <c r="E16" s="190">
        <f>IFERROR(SUMPRODUCT((Transactions!E$3:E$2000="Other")*ISNUMBER(Transactions!B$3:B$2000)*(Transactions!B$3:B$2000&gt;=DATE(2026,6,8))*(Transactions!B$3:B$2000&lt;=DATE(2026,6,15))*(Transactions!D$3:D$2000)),0)</f>
        <v>0</v>
      </c>
      <c r="F16" s="191">
        <f>IFERROR(SUMPRODUCT((Transactions!E$3:E$2000="Other")*ISNUMBER(Transactions!B$3:B$2000)*(Transactions!B$3:B$2000&gt;=DATE(2026,6,16))*(Transactions!B$3:B$2000&lt;=DATE(2026,6,22))*(Transactions!D$3:D$2000)),0)</f>
        <v>0</v>
      </c>
      <c r="G16" s="192">
        <f>IFERROR(SUMPRODUCT((Transactions!E$3:E$2000="Other")*ISNUMBER(Transactions!B$3:B$2000)*(Transactions!B$3:B$2000&gt;=DATE(2026,6,23))*(Transactions!B$3:B$2000&lt;=DATE(2026,6,30))*(Transactions!D$3:D$2000)),0)</f>
        <v>0</v>
      </c>
      <c r="H16" s="198">
        <f t="shared" si="1"/>
        <v>22.5</v>
      </c>
      <c r="I16" s="198">
        <f t="shared" si="2"/>
        <v>-22.5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>SUM(C7:C14)</f>
        <v>300</v>
      </c>
      <c r="D17" s="202">
        <f t="shared" ref="D17:H17" si="5">SUM(D7:D16)</f>
        <v>150.22</v>
      </c>
      <c r="E17" s="202">
        <f t="shared" si="5"/>
        <v>4.8</v>
      </c>
      <c r="F17" s="202">
        <f t="shared" si="5"/>
        <v>0</v>
      </c>
      <c r="G17" s="202">
        <f t="shared" si="5"/>
        <v>0</v>
      </c>
      <c r="H17" s="202">
        <f t="shared" si="5"/>
        <v>155.02</v>
      </c>
      <c r="I17" s="202">
        <f>SUM(I7:I14)</f>
        <v>251.48</v>
      </c>
      <c r="J17" s="203">
        <f t="shared" si="3"/>
        <v>0.5167333333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  <c r="H20" s="22" t="s">
        <v>204</v>
      </c>
      <c r="I20" s="2"/>
      <c r="J20" s="2"/>
      <c r="K20" s="2"/>
      <c r="L20" s="2"/>
      <c r="M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  <c r="H21" s="205" t="s">
        <v>258</v>
      </c>
      <c r="I21" s="205" t="s">
        <v>259</v>
      </c>
    </row>
    <row r="22">
      <c r="B22" s="206" t="s">
        <v>209</v>
      </c>
      <c r="C22" s="207" t="s">
        <v>260</v>
      </c>
      <c r="D22" s="189">
        <f>SUM(D7:D16)</f>
        <v>150.22</v>
      </c>
      <c r="E22" s="189">
        <f>C17/4</f>
        <v>75</v>
      </c>
      <c r="F22" s="189">
        <f t="shared" ref="F22:F25" si="6">E22-D22</f>
        <v>-75.22</v>
      </c>
      <c r="G22" s="208" t="str">
        <f t="shared" ref="G22:G25" si="7">IF(D22=0,"—",IF(D22&gt;E22,"❌ Over","✅ Under"))</f>
        <v>❌ Over</v>
      </c>
      <c r="H22" s="220" t="s">
        <v>261</v>
      </c>
      <c r="I22" s="220" t="s">
        <v>262</v>
      </c>
    </row>
    <row r="23" ht="15.75" customHeight="1">
      <c r="B23" s="209" t="s">
        <v>211</v>
      </c>
      <c r="C23" s="210" t="s">
        <v>263</v>
      </c>
      <c r="D23" s="190">
        <f>SUM(E7:E16)</f>
        <v>4.8</v>
      </c>
      <c r="E23" s="190">
        <f>C17/4</f>
        <v>75</v>
      </c>
      <c r="F23" s="190">
        <f t="shared" si="6"/>
        <v>70.2</v>
      </c>
      <c r="G23" s="211" t="str">
        <f t="shared" si="7"/>
        <v>✅ Under</v>
      </c>
    </row>
    <row r="24" ht="15.75" customHeight="1">
      <c r="B24" s="212" t="s">
        <v>213</v>
      </c>
      <c r="C24" s="213" t="s">
        <v>264</v>
      </c>
      <c r="D24" s="191">
        <f>SUM(F7:F16)</f>
        <v>0</v>
      </c>
      <c r="E24" s="191">
        <f>C17/4</f>
        <v>75</v>
      </c>
      <c r="F24" s="191">
        <f t="shared" si="6"/>
        <v>75</v>
      </c>
      <c r="G24" s="214" t="str">
        <f t="shared" si="7"/>
        <v>—</v>
      </c>
    </row>
    <row r="25" ht="15.75" customHeight="1">
      <c r="B25" s="215" t="s">
        <v>215</v>
      </c>
      <c r="C25" s="216" t="s">
        <v>265</v>
      </c>
      <c r="D25" s="192">
        <f>SUM(G7:G16)</f>
        <v>0</v>
      </c>
      <c r="E25" s="192">
        <f>C17/4</f>
        <v>75</v>
      </c>
      <c r="F25" s="192">
        <f t="shared" si="6"/>
        <v>75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>
      <c r="F30" s="221"/>
    </row>
    <row r="31" ht="14.25" customHeight="1">
      <c r="F31" s="22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K1"/>
    <mergeCell ref="B20:G20"/>
    <mergeCell ref="H20:M20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266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267</v>
      </c>
      <c r="E6" s="184" t="s">
        <v>268</v>
      </c>
      <c r="F6" s="185" t="s">
        <v>269</v>
      </c>
      <c r="G6" s="186" t="s">
        <v>270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IFERROR(SUMPRODUCT((Transactions!E$3:E$2000="Groceries")*ISNUMBER(Transactions!B$3:B$2000)*(Transactions!B$3:B$2000&gt;=DATE(2026,7,1))*(Transactions!B$3:B$2000&lt;=DATE(2026,7,7))*(Transactions!D$3:D$2000)),0)</f>
        <v>0</v>
      </c>
      <c r="E7" s="190">
        <f>IFERROR(SUMPRODUCT((Transactions!E$3:E$2000="Groceries")*ISNUMBER(Transactions!B$3:B$2000)*(Transactions!B$3:B$2000&gt;=DATE(2026,7,8))*(Transactions!B$3:B$2000&lt;=DATE(2026,7,15))*(Transactions!D$3:D$2000)),0)</f>
        <v>0</v>
      </c>
      <c r="F7" s="191">
        <f>IFERROR(SUMPRODUCT((Transactions!E$3:E$2000="Groceries")*ISNUMBER(Transactions!B$3:B$2000)*(Transactions!B$3:B$2000&gt;=DATE(2026,7,16))*(Transactions!B$3:B$2000&lt;=DATE(2026,7,22))*(Transactions!D$3:D$2000)),0)</f>
        <v>0</v>
      </c>
      <c r="G7" s="192">
        <f>IFERROR(SUMPRODUCT((Transactions!E$3:E$2000="Groceries")*ISNUMBER(Transactions!B$3:B$2000)*(Transactions!B$3:B$2000&gt;=DATE(2026,7,23))*(Transactions!B$3:B$2000&lt;=DATE(2026,7,31))*(Transactions!D$3:D$2000)),0)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Out")*ISNUMBER(Transactions!B$3:B$2000)*(Transactions!B$3:B$2000&gt;=DATE(2026,7,1))*(Transactions!B$3:B$2000&lt;=DATE(2026,7,7))*(Transactions!D$3:D$2000)),0)</f>
        <v>0</v>
      </c>
      <c r="E8" s="190">
        <f>IFERROR(SUMPRODUCT((Transactions!E$3:E$2000="Dining Out")*ISNUMBER(Transactions!B$3:B$2000)*(Transactions!B$3:B$2000&gt;=DATE(2026,7,8))*(Transactions!B$3:B$2000&lt;=DATE(2026,7,15))*(Transactions!D$3:D$2000)),0)</f>
        <v>0</v>
      </c>
      <c r="F8" s="191">
        <f>IFERROR(SUMPRODUCT((Transactions!E$3:E$2000="Dining Out")*ISNUMBER(Transactions!B$3:B$2000)*(Transactions!B$3:B$2000&gt;=DATE(2026,7,16))*(Transactions!B$3:B$2000&lt;=DATE(2026,7,22))*(Transactions!D$3:D$2000)),0)</f>
        <v>0</v>
      </c>
      <c r="G8" s="192">
        <f>IFERROR(SUMPRODUCT((Transactions!E$3:E$2000="Dining Out")*ISNUMBER(Transactions!B$3:B$2000)*(Transactions!B$3:B$2000&gt;=DATE(2026,7,23))*(Transactions!B$3:B$2000&lt;=DATE(2026,7,31))*(Transactions!D$3:D$2000)),0)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IFERROR(SUMPRODUCT((Transactions!E$3:E$2000="Fuel")*ISNUMBER(Transactions!B$3:B$2000)*(Transactions!B$3:B$2000&gt;=DATE(2026,7,1))*(Transactions!B$3:B$2000&lt;=DATE(2026,7,7))*(Transactions!D$3:D$2000)),0)</f>
        <v>0</v>
      </c>
      <c r="E9" s="190">
        <f>IFERROR(SUMPRODUCT((Transactions!E$3:E$2000="Fuel")*ISNUMBER(Transactions!B$3:B$2000)*(Transactions!B$3:B$2000&gt;=DATE(2026,7,8))*(Transactions!B$3:B$2000&lt;=DATE(2026,7,15))*(Transactions!D$3:D$2000)),0)</f>
        <v>0</v>
      </c>
      <c r="F9" s="191">
        <f>IFERROR(SUMPRODUCT((Transactions!E$3:E$2000="Fuel")*ISNUMBER(Transactions!B$3:B$2000)*(Transactions!B$3:B$2000&gt;=DATE(2026,7,16))*(Transactions!B$3:B$2000&lt;=DATE(2026,7,22))*(Transactions!D$3:D$2000)),0)</f>
        <v>0</v>
      </c>
      <c r="G9" s="192">
        <f>IFERROR(SUMPRODUCT((Transactions!E$3:E$2000="Fuel")*ISNUMBER(Transactions!B$3:B$2000)*(Transactions!B$3:B$2000&gt;=DATE(2026,7,23))*(Transactions!B$3:B$2000&lt;=DATE(2026,7,31))*(Transactions!D$3:D$2000)),0)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IFERROR(SUMPRODUCT((Transactions!E$3:E$2000="Coffee")*ISNUMBER(Transactions!B$3:B$2000)*(Transactions!B$3:B$2000&gt;=DATE(2026,7,1))*(Transactions!B$3:B$2000&lt;=DATE(2026,7,7))*(Transactions!D$3:D$2000)),0)</f>
        <v>0</v>
      </c>
      <c r="E10" s="190">
        <f>IFERROR(SUMPRODUCT((Transactions!E$3:E$2000="Coffee")*ISNUMBER(Transactions!B$3:B$2000)*(Transactions!B$3:B$2000&gt;=DATE(2026,7,8))*(Transactions!B$3:B$2000&lt;=DATE(2026,7,15))*(Transactions!D$3:D$2000)),0)</f>
        <v>0</v>
      </c>
      <c r="F10" s="191">
        <f>IFERROR(SUMPRODUCT((Transactions!E$3:E$2000="Coffee")*ISNUMBER(Transactions!B$3:B$2000)*(Transactions!B$3:B$2000&gt;=DATE(2026,7,16))*(Transactions!B$3:B$2000&lt;=DATE(2026,7,22))*(Transactions!D$3:D$2000)),0)</f>
        <v>0</v>
      </c>
      <c r="G10" s="192">
        <f>IFERROR(SUMPRODUCT((Transactions!E$3:E$2000="Coffee")*ISNUMBER(Transactions!B$3:B$2000)*(Transactions!B$3:B$2000&gt;=DATE(2026,7,23))*(Transactions!B$3:B$2000&lt;=DATE(2026,7,31))*(Transactions!D$3:D$2000)),0)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IFERROR(SUMPRODUCT((Transactions!E$3:E$2000="Entertainment")*ISNUMBER(Transactions!B$3:B$2000)*(Transactions!B$3:B$2000&gt;=DATE(2026,7,1))*(Transactions!B$3:B$2000&lt;=DATE(2026,7,7))*(Transactions!D$3:D$2000)),0)</f>
        <v>0</v>
      </c>
      <c r="E11" s="190">
        <f>IFERROR(SUMPRODUCT((Transactions!E$3:E$2000="Entertainment")*ISNUMBER(Transactions!B$3:B$2000)*(Transactions!B$3:B$2000&gt;=DATE(2026,7,8))*(Transactions!B$3:B$2000&lt;=DATE(2026,7,15))*(Transactions!D$3:D$2000)),0)</f>
        <v>0</v>
      </c>
      <c r="F11" s="191">
        <f>IFERROR(SUMPRODUCT((Transactions!E$3:E$2000="Entertainment")*ISNUMBER(Transactions!B$3:B$2000)*(Transactions!B$3:B$2000&gt;=DATE(2026,7,16))*(Transactions!B$3:B$2000&lt;=DATE(2026,7,22))*(Transactions!D$3:D$2000)),0)</f>
        <v>0</v>
      </c>
      <c r="G11" s="192">
        <f>IFERROR(SUMPRODUCT((Transactions!E$3:E$2000="Entertainment")*ISNUMBER(Transactions!B$3:B$2000)*(Transactions!B$3:B$2000&gt;=DATE(2026,7,23))*(Transactions!B$3:B$2000&lt;=DATE(2026,7,31))*(Transactions!D$3:D$2000)),0)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Care")*ISNUMBER(Transactions!B$3:B$2000)*(Transactions!B$3:B$2000&gt;=DATE(2026,7,1))*(Transactions!B$3:B$2000&lt;=DATE(2026,7,7))*(Transactions!D$3:D$2000)),0)</f>
        <v>0</v>
      </c>
      <c r="E12" s="190">
        <f>IFERROR(SUMPRODUCT((Transactions!E$3:E$2000="Personal Care")*ISNUMBER(Transactions!B$3:B$2000)*(Transactions!B$3:B$2000&gt;=DATE(2026,7,8))*(Transactions!B$3:B$2000&lt;=DATE(2026,7,15))*(Transactions!D$3:D$2000)),0)</f>
        <v>0</v>
      </c>
      <c r="F12" s="191">
        <f>IFERROR(SUMPRODUCT((Transactions!E$3:E$2000="Personal Care")*ISNUMBER(Transactions!B$3:B$2000)*(Transactions!B$3:B$2000&gt;=DATE(2026,7,16))*(Transactions!B$3:B$2000&lt;=DATE(2026,7,22))*(Transactions!D$3:D$2000)),0)</f>
        <v>0</v>
      </c>
      <c r="G12" s="192">
        <f>IFERROR(SUMPRODUCT((Transactions!E$3:E$2000="Personal Care")*ISNUMBER(Transactions!B$3:B$2000)*(Transactions!B$3:B$2000&gt;=DATE(2026,7,23))*(Transactions!B$3:B$2000&lt;=DATE(2026,7,31))*(Transactions!D$3:D$2000)),0)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IFERROR(SUMPRODUCT((Transactions!E$3:E$2000="Miscellaneous")*ISNUMBER(Transactions!B$3:B$2000)*(Transactions!B$3:B$2000&gt;=DATE(2026,7,1))*(Transactions!B$3:B$2000&lt;=DATE(2026,7,7))*(Transactions!D$3:D$2000)),0)</f>
        <v>0</v>
      </c>
      <c r="E13" s="190">
        <f>IFERROR(SUMPRODUCT((Transactions!E$3:E$2000="Miscellaneous")*ISNUMBER(Transactions!B$3:B$2000)*(Transactions!B$3:B$2000&gt;=DATE(2026,7,8))*(Transactions!B$3:B$2000&lt;=DATE(2026,7,15))*(Transactions!D$3:D$2000)),0)</f>
        <v>0</v>
      </c>
      <c r="F13" s="191">
        <f>IFERROR(SUMPRODUCT((Transactions!E$3:E$2000="Miscellaneous")*ISNUMBER(Transactions!B$3:B$2000)*(Transactions!B$3:B$2000&gt;=DATE(2026,7,16))*(Transactions!B$3:B$2000&lt;=DATE(2026,7,22))*(Transactions!D$3:D$2000)),0)</f>
        <v>0</v>
      </c>
      <c r="G13" s="192">
        <f>IFERROR(SUMPRODUCT((Transactions!E$3:E$2000="Miscellaneous")*ISNUMBER(Transactions!B$3:B$2000)*(Transactions!B$3:B$2000&gt;=DATE(2026,7,23))*(Transactions!B$3:B$2000&lt;=DATE(2026,7,31))*(Transactions!D$3:D$2000)),0)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IFERROR(SUMPRODUCT((Transactions!E$3:E$2000="Subscriptions")*ISNUMBER(Transactions!B$3:B$2000)*(Transactions!B$3:B$2000&gt;=DATE(2026,7,1))*(Transactions!B$3:B$2000&lt;=DATE(2026,7,7))*(Transactions!D$3:D$2000)),0)</f>
        <v>0</v>
      </c>
      <c r="E14" s="190">
        <f>IFERROR(SUMPRODUCT((Transactions!E$3:E$2000="Subscriptions")*ISNUMBER(Transactions!B$3:B$2000)*(Transactions!B$3:B$2000&gt;=DATE(2026,7,8))*(Transactions!B$3:B$2000&lt;=DATE(2026,7,15))*(Transactions!D$3:D$2000)),0)</f>
        <v>0</v>
      </c>
      <c r="F14" s="191">
        <f>IFERROR(SUMPRODUCT((Transactions!E$3:E$2000="Subscriptions")*ISNUMBER(Transactions!B$3:B$2000)*(Transactions!B$3:B$2000&gt;=DATE(2026,7,16))*(Transactions!B$3:B$2000&lt;=DATE(2026,7,22))*(Transactions!D$3:D$2000)),0)</f>
        <v>0</v>
      </c>
      <c r="G14" s="192">
        <f>IFERROR(SUMPRODUCT((Transactions!E$3:E$2000="Subscriptions")*ISNUMBER(Transactions!B$3:B$2000)*(Transactions!B$3:B$2000&gt;=DATE(2026,7,23))*(Transactions!B$3:B$2000&lt;=DATE(2026,7,31))*(Transactions!D$3:D$2000)),0)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IFERROR(SUMPRODUCT((Transactions!E$3:E$2000="Savings")*ISNUMBER(Transactions!B$3:B$2000)*(Transactions!B$3:B$2000&gt;=DATE(2026,7,1))*(Transactions!B$3:B$2000&lt;=DATE(2026,7,7))*(Transactions!D$3:D$2000)),0)</f>
        <v>0</v>
      </c>
      <c r="E15" s="190">
        <f>IFERROR(SUMPRODUCT((Transactions!E$3:E$2000="Savings")*ISNUMBER(Transactions!B$3:B$2000)*(Transactions!B$3:B$2000&gt;=DATE(2026,7,8))*(Transactions!B$3:B$2000&lt;=DATE(2026,7,15))*(Transactions!D$3:D$2000)),0)</f>
        <v>0</v>
      </c>
      <c r="F15" s="191">
        <f>IFERROR(SUMPRODUCT((Transactions!E$3:E$2000="Savings")*ISNUMBER(Transactions!B$3:B$2000)*(Transactions!B$3:B$2000&gt;=DATE(2026,7,16))*(Transactions!B$3:B$2000&lt;=DATE(2026,7,22))*(Transactions!D$3:D$2000)),0)</f>
        <v>0</v>
      </c>
      <c r="G15" s="192">
        <f>IFERROR(SUMPRODUCT((Transactions!E$3:E$2000="Savings")*ISNUMBER(Transactions!B$3:B$2000)*(Transactions!B$3:B$2000&gt;=DATE(2026,7,23))*(Transactions!B$3:B$2000&lt;=DATE(2026,7,31))*(Transactions!D$3:D$2000)),0)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IFERROR(SUMPRODUCT((Transactions!E$3:E$2000="Other")*ISNUMBER(Transactions!B$3:B$2000)*(Transactions!B$3:B$2000&gt;=DATE(2026,7,1))*(Transactions!B$3:B$2000&lt;=DATE(2026,7,7))*(Transactions!D$3:D$2000)),0)</f>
        <v>0</v>
      </c>
      <c r="E16" s="190">
        <f>IFERROR(SUMPRODUCT((Transactions!E$3:E$2000="Other")*ISNUMBER(Transactions!B$3:B$2000)*(Transactions!B$3:B$2000&gt;=DATE(2026,7,8))*(Transactions!B$3:B$2000&lt;=DATE(2026,7,15))*(Transactions!D$3:D$2000)),0)</f>
        <v>0</v>
      </c>
      <c r="F16" s="191">
        <f>IFERROR(SUMPRODUCT((Transactions!E$3:E$2000="Other")*ISNUMBER(Transactions!B$3:B$2000)*(Transactions!B$3:B$2000&gt;=DATE(2026,7,16))*(Transactions!B$3:B$2000&lt;=DATE(2026,7,22))*(Transactions!D$3:D$2000)),0)</f>
        <v>0</v>
      </c>
      <c r="G16" s="192">
        <f>IFERROR(SUMPRODUCT((Transactions!E$3:E$2000="Other")*ISNUMBER(Transactions!B$3:B$2000)*(Transactions!B$3:B$2000&gt;=DATE(2026,7,23))*(Transactions!B$3:B$2000&lt;=DATE(2026,7,31))*(Transactions!D$3:D$2000)),0)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271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272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273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274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9.5" customHeight="1">
      <c r="B27" s="222" t="s">
        <v>275</v>
      </c>
      <c r="C27" s="2"/>
      <c r="D27" s="2"/>
      <c r="E27" s="2"/>
      <c r="F27" s="2"/>
      <c r="G27" s="2"/>
      <c r="H27" s="2"/>
      <c r="I27" s="2"/>
      <c r="J27" s="2"/>
      <c r="K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K1"/>
    <mergeCell ref="B20:G20"/>
    <mergeCell ref="B27:K27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276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277</v>
      </c>
      <c r="E6" s="184" t="s">
        <v>278</v>
      </c>
      <c r="F6" s="185" t="s">
        <v>279</v>
      </c>
      <c r="G6" s="186" t="s">
        <v>280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IFERROR(SUMPRODUCT((Transactions!E$3:E$2000="Groceries")*ISNUMBER(Transactions!B$3:B$2000)*(Transactions!B$3:B$2000&gt;=DATE(2026,8,1))*(Transactions!B$3:B$2000&lt;=DATE(2026,8,7))*(Transactions!D$3:D$2000)),0)</f>
        <v>0</v>
      </c>
      <c r="E7" s="190">
        <f>IFERROR(SUMPRODUCT((Transactions!E$3:E$2000="Groceries")*ISNUMBER(Transactions!B$3:B$2000)*(Transactions!B$3:B$2000&gt;=DATE(2026,8,8))*(Transactions!B$3:B$2000&lt;=DATE(2026,8,15))*(Transactions!D$3:D$2000)),0)</f>
        <v>0</v>
      </c>
      <c r="F7" s="191">
        <f>IFERROR(SUMPRODUCT((Transactions!E$3:E$2000="Groceries")*ISNUMBER(Transactions!B$3:B$2000)*(Transactions!B$3:B$2000&gt;=DATE(2026,8,16))*(Transactions!B$3:B$2000&lt;=DATE(2026,8,22))*(Transactions!D$3:D$2000)),0)</f>
        <v>0</v>
      </c>
      <c r="G7" s="192">
        <f>IFERROR(SUMPRODUCT((Transactions!E$3:E$2000="Groceries")*ISNUMBER(Transactions!B$3:B$2000)*(Transactions!B$3:B$2000&gt;=DATE(2026,8,23))*(Transactions!B$3:B$2000&lt;=DATE(2026,8,31))*(Transactions!D$3:D$2000)),0)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Out")*ISNUMBER(Transactions!B$3:B$2000)*(Transactions!B$3:B$2000&gt;=DATE(2026,8,1))*(Transactions!B$3:B$2000&lt;=DATE(2026,8,7))*(Transactions!D$3:D$2000)),0)</f>
        <v>0</v>
      </c>
      <c r="E8" s="190">
        <f>IFERROR(SUMPRODUCT((Transactions!E$3:E$2000="Dining Out")*ISNUMBER(Transactions!B$3:B$2000)*(Transactions!B$3:B$2000&gt;=DATE(2026,8,8))*(Transactions!B$3:B$2000&lt;=DATE(2026,8,15))*(Transactions!D$3:D$2000)),0)</f>
        <v>0</v>
      </c>
      <c r="F8" s="191">
        <f>IFERROR(SUMPRODUCT((Transactions!E$3:E$2000="Dining Out")*ISNUMBER(Transactions!B$3:B$2000)*(Transactions!B$3:B$2000&gt;=DATE(2026,8,16))*(Transactions!B$3:B$2000&lt;=DATE(2026,8,22))*(Transactions!D$3:D$2000)),0)</f>
        <v>0</v>
      </c>
      <c r="G8" s="192">
        <f>IFERROR(SUMPRODUCT((Transactions!E$3:E$2000="Dining Out")*ISNUMBER(Transactions!B$3:B$2000)*(Transactions!B$3:B$2000&gt;=DATE(2026,8,23))*(Transactions!B$3:B$2000&lt;=DATE(2026,8,31))*(Transactions!D$3:D$2000)),0)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IFERROR(SUMPRODUCT((Transactions!E$3:E$2000="Fuel")*ISNUMBER(Transactions!B$3:B$2000)*(Transactions!B$3:B$2000&gt;=DATE(2026,8,1))*(Transactions!B$3:B$2000&lt;=DATE(2026,8,7))*(Transactions!D$3:D$2000)),0)</f>
        <v>0</v>
      </c>
      <c r="E9" s="190">
        <f>IFERROR(SUMPRODUCT((Transactions!E$3:E$2000="Fuel")*ISNUMBER(Transactions!B$3:B$2000)*(Transactions!B$3:B$2000&gt;=DATE(2026,8,8))*(Transactions!B$3:B$2000&lt;=DATE(2026,8,15))*(Transactions!D$3:D$2000)),0)</f>
        <v>0</v>
      </c>
      <c r="F9" s="191">
        <f>IFERROR(SUMPRODUCT((Transactions!E$3:E$2000="Fuel")*ISNUMBER(Transactions!B$3:B$2000)*(Transactions!B$3:B$2000&gt;=DATE(2026,8,16))*(Transactions!B$3:B$2000&lt;=DATE(2026,8,22))*(Transactions!D$3:D$2000)),0)</f>
        <v>0</v>
      </c>
      <c r="G9" s="192">
        <f>IFERROR(SUMPRODUCT((Transactions!E$3:E$2000="Fuel")*ISNUMBER(Transactions!B$3:B$2000)*(Transactions!B$3:B$2000&gt;=DATE(2026,8,23))*(Transactions!B$3:B$2000&lt;=DATE(2026,8,31))*(Transactions!D$3:D$2000)),0)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IFERROR(SUMPRODUCT((Transactions!E$3:E$2000="Coffee")*ISNUMBER(Transactions!B$3:B$2000)*(Transactions!B$3:B$2000&gt;=DATE(2026,8,1))*(Transactions!B$3:B$2000&lt;=DATE(2026,8,7))*(Transactions!D$3:D$2000)),0)</f>
        <v>0</v>
      </c>
      <c r="E10" s="190">
        <f>IFERROR(SUMPRODUCT((Transactions!E$3:E$2000="Coffee")*ISNUMBER(Transactions!B$3:B$2000)*(Transactions!B$3:B$2000&gt;=DATE(2026,8,8))*(Transactions!B$3:B$2000&lt;=DATE(2026,8,15))*(Transactions!D$3:D$2000)),0)</f>
        <v>0</v>
      </c>
      <c r="F10" s="191">
        <f>IFERROR(SUMPRODUCT((Transactions!E$3:E$2000="Coffee")*ISNUMBER(Transactions!B$3:B$2000)*(Transactions!B$3:B$2000&gt;=DATE(2026,8,16))*(Transactions!B$3:B$2000&lt;=DATE(2026,8,22))*(Transactions!D$3:D$2000)),0)</f>
        <v>0</v>
      </c>
      <c r="G10" s="192">
        <f>IFERROR(SUMPRODUCT((Transactions!E$3:E$2000="Coffee")*ISNUMBER(Transactions!B$3:B$2000)*(Transactions!B$3:B$2000&gt;=DATE(2026,8,23))*(Transactions!B$3:B$2000&lt;=DATE(2026,8,31))*(Transactions!D$3:D$2000)),0)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IFERROR(SUMPRODUCT((Transactions!E$3:E$2000="Entertainment")*ISNUMBER(Transactions!B$3:B$2000)*(Transactions!B$3:B$2000&gt;=DATE(2026,8,1))*(Transactions!B$3:B$2000&lt;=DATE(2026,8,7))*(Transactions!D$3:D$2000)),0)</f>
        <v>0</v>
      </c>
      <c r="E11" s="190">
        <f>IFERROR(SUMPRODUCT((Transactions!E$3:E$2000="Entertainment")*ISNUMBER(Transactions!B$3:B$2000)*(Transactions!B$3:B$2000&gt;=DATE(2026,8,8))*(Transactions!B$3:B$2000&lt;=DATE(2026,8,15))*(Transactions!D$3:D$2000)),0)</f>
        <v>0</v>
      </c>
      <c r="F11" s="191">
        <f>IFERROR(SUMPRODUCT((Transactions!E$3:E$2000="Entertainment")*ISNUMBER(Transactions!B$3:B$2000)*(Transactions!B$3:B$2000&gt;=DATE(2026,8,16))*(Transactions!B$3:B$2000&lt;=DATE(2026,8,22))*(Transactions!D$3:D$2000)),0)</f>
        <v>0</v>
      </c>
      <c r="G11" s="192">
        <f>IFERROR(SUMPRODUCT((Transactions!E$3:E$2000="Entertainment")*ISNUMBER(Transactions!B$3:B$2000)*(Transactions!B$3:B$2000&gt;=DATE(2026,8,23))*(Transactions!B$3:B$2000&lt;=DATE(2026,8,31))*(Transactions!D$3:D$2000)),0)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Care")*ISNUMBER(Transactions!B$3:B$2000)*(Transactions!B$3:B$2000&gt;=DATE(2026,8,1))*(Transactions!B$3:B$2000&lt;=DATE(2026,8,7))*(Transactions!D$3:D$2000)),0)</f>
        <v>0</v>
      </c>
      <c r="E12" s="190">
        <f>IFERROR(SUMPRODUCT((Transactions!E$3:E$2000="Personal Care")*ISNUMBER(Transactions!B$3:B$2000)*(Transactions!B$3:B$2000&gt;=DATE(2026,8,8))*(Transactions!B$3:B$2000&lt;=DATE(2026,8,15))*(Transactions!D$3:D$2000)),0)</f>
        <v>0</v>
      </c>
      <c r="F12" s="191">
        <f>IFERROR(SUMPRODUCT((Transactions!E$3:E$2000="Personal Care")*ISNUMBER(Transactions!B$3:B$2000)*(Transactions!B$3:B$2000&gt;=DATE(2026,8,16))*(Transactions!B$3:B$2000&lt;=DATE(2026,8,22))*(Transactions!D$3:D$2000)),0)</f>
        <v>0</v>
      </c>
      <c r="G12" s="192">
        <f>IFERROR(SUMPRODUCT((Transactions!E$3:E$2000="Personal Care")*ISNUMBER(Transactions!B$3:B$2000)*(Transactions!B$3:B$2000&gt;=DATE(2026,8,23))*(Transactions!B$3:B$2000&lt;=DATE(2026,8,31))*(Transactions!D$3:D$2000)),0)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IFERROR(SUMPRODUCT((Transactions!E$3:E$2000="Miscellaneous")*ISNUMBER(Transactions!B$3:B$2000)*(Transactions!B$3:B$2000&gt;=DATE(2026,8,1))*(Transactions!B$3:B$2000&lt;=DATE(2026,8,7))*(Transactions!D$3:D$2000)),0)</f>
        <v>0</v>
      </c>
      <c r="E13" s="190">
        <f>IFERROR(SUMPRODUCT((Transactions!E$3:E$2000="Miscellaneous")*ISNUMBER(Transactions!B$3:B$2000)*(Transactions!B$3:B$2000&gt;=DATE(2026,8,8))*(Transactions!B$3:B$2000&lt;=DATE(2026,8,15))*(Transactions!D$3:D$2000)),0)</f>
        <v>0</v>
      </c>
      <c r="F13" s="191">
        <f>IFERROR(SUMPRODUCT((Transactions!E$3:E$2000="Miscellaneous")*ISNUMBER(Transactions!B$3:B$2000)*(Transactions!B$3:B$2000&gt;=DATE(2026,8,16))*(Transactions!B$3:B$2000&lt;=DATE(2026,8,22))*(Transactions!D$3:D$2000)),0)</f>
        <v>0</v>
      </c>
      <c r="G13" s="192">
        <f>IFERROR(SUMPRODUCT((Transactions!E$3:E$2000="Miscellaneous")*ISNUMBER(Transactions!B$3:B$2000)*(Transactions!B$3:B$2000&gt;=DATE(2026,8,23))*(Transactions!B$3:B$2000&lt;=DATE(2026,8,31))*(Transactions!D$3:D$2000)),0)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IFERROR(SUMPRODUCT((Transactions!E$3:E$2000="Subscriptions")*ISNUMBER(Transactions!B$3:B$2000)*(Transactions!B$3:B$2000&gt;=DATE(2026,8,1))*(Transactions!B$3:B$2000&lt;=DATE(2026,8,7))*(Transactions!D$3:D$2000)),0)</f>
        <v>0</v>
      </c>
      <c r="E14" s="190">
        <f>IFERROR(SUMPRODUCT((Transactions!E$3:E$2000="Subscriptions")*ISNUMBER(Transactions!B$3:B$2000)*(Transactions!B$3:B$2000&gt;=DATE(2026,8,8))*(Transactions!B$3:B$2000&lt;=DATE(2026,8,15))*(Transactions!D$3:D$2000)),0)</f>
        <v>0</v>
      </c>
      <c r="F14" s="191">
        <f>IFERROR(SUMPRODUCT((Transactions!E$3:E$2000="Subscriptions")*ISNUMBER(Transactions!B$3:B$2000)*(Transactions!B$3:B$2000&gt;=DATE(2026,8,16))*(Transactions!B$3:B$2000&lt;=DATE(2026,8,22))*(Transactions!D$3:D$2000)),0)</f>
        <v>0</v>
      </c>
      <c r="G14" s="192">
        <f>IFERROR(SUMPRODUCT((Transactions!E$3:E$2000="Subscriptions")*ISNUMBER(Transactions!B$3:B$2000)*(Transactions!B$3:B$2000&gt;=DATE(2026,8,23))*(Transactions!B$3:B$2000&lt;=DATE(2026,8,31))*(Transactions!D$3:D$2000)),0)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IFERROR(SUMPRODUCT((Transactions!E$3:E$2000="Savings")*ISNUMBER(Transactions!B$3:B$2000)*(Transactions!B$3:B$2000&gt;=DATE(2026,8,1))*(Transactions!B$3:B$2000&lt;=DATE(2026,8,7))*(Transactions!D$3:D$2000)),0)</f>
        <v>0</v>
      </c>
      <c r="E15" s="190">
        <f>IFERROR(SUMPRODUCT((Transactions!E$3:E$2000="Savings")*ISNUMBER(Transactions!B$3:B$2000)*(Transactions!B$3:B$2000&gt;=DATE(2026,8,8))*(Transactions!B$3:B$2000&lt;=DATE(2026,8,15))*(Transactions!D$3:D$2000)),0)</f>
        <v>0</v>
      </c>
      <c r="F15" s="191">
        <f>IFERROR(SUMPRODUCT((Transactions!E$3:E$2000="Savings")*ISNUMBER(Transactions!B$3:B$2000)*(Transactions!B$3:B$2000&gt;=DATE(2026,8,16))*(Transactions!B$3:B$2000&lt;=DATE(2026,8,22))*(Transactions!D$3:D$2000)),0)</f>
        <v>0</v>
      </c>
      <c r="G15" s="192">
        <f>IFERROR(SUMPRODUCT((Transactions!E$3:E$2000="Savings")*ISNUMBER(Transactions!B$3:B$2000)*(Transactions!B$3:B$2000&gt;=DATE(2026,8,23))*(Transactions!B$3:B$2000&lt;=DATE(2026,8,31))*(Transactions!D$3:D$2000)),0)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IFERROR(SUMPRODUCT((Transactions!E$3:E$2000="Other")*ISNUMBER(Transactions!B$3:B$2000)*(Transactions!B$3:B$2000&gt;=DATE(2026,8,1))*(Transactions!B$3:B$2000&lt;=DATE(2026,8,7))*(Transactions!D$3:D$2000)),0)</f>
        <v>0</v>
      </c>
      <c r="E16" s="190">
        <f>IFERROR(SUMPRODUCT((Transactions!E$3:E$2000="Other")*ISNUMBER(Transactions!B$3:B$2000)*(Transactions!B$3:B$2000&gt;=DATE(2026,8,8))*(Transactions!B$3:B$2000&lt;=DATE(2026,8,15))*(Transactions!D$3:D$2000)),0)</f>
        <v>0</v>
      </c>
      <c r="F16" s="191">
        <f>IFERROR(SUMPRODUCT((Transactions!E$3:E$2000="Other")*ISNUMBER(Transactions!B$3:B$2000)*(Transactions!B$3:B$2000&gt;=DATE(2026,8,16))*(Transactions!B$3:B$2000&lt;=DATE(2026,8,22))*(Transactions!D$3:D$2000)),0)</f>
        <v>0</v>
      </c>
      <c r="G16" s="192">
        <f>IFERROR(SUMPRODUCT((Transactions!E$3:E$2000="Other")*ISNUMBER(Transactions!B$3:B$2000)*(Transactions!B$3:B$2000&gt;=DATE(2026,8,23))*(Transactions!B$3:B$2000&lt;=DATE(2026,8,31))*(Transactions!D$3:D$2000)),0)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281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282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283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284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285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286</v>
      </c>
      <c r="E6" s="184" t="s">
        <v>287</v>
      </c>
      <c r="F6" s="185" t="s">
        <v>288</v>
      </c>
      <c r="G6" s="186" t="s">
        <v>289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IFERROR(SUMPRODUCT((Transactions!E$3:E$2000="Groceries")*ISNUMBER(Transactions!B$3:B$2000)*(Transactions!B$3:B$2000&gt;=DATE(2026,9,1))*(Transactions!B$3:B$2000&lt;=DATE(2026,9,7))*(Transactions!D$3:D$2000)),0)</f>
        <v>0</v>
      </c>
      <c r="E7" s="190">
        <f>IFERROR(SUMPRODUCT((Transactions!E$3:E$2000="Groceries")*ISNUMBER(Transactions!B$3:B$2000)*(Transactions!B$3:B$2000&gt;=DATE(2026,9,8))*(Transactions!B$3:B$2000&lt;=DATE(2026,9,15))*(Transactions!D$3:D$2000)),0)</f>
        <v>0</v>
      </c>
      <c r="F7" s="191">
        <f>IFERROR(SUMPRODUCT((Transactions!E$3:E$2000="Groceries")*ISNUMBER(Transactions!B$3:B$2000)*(Transactions!B$3:B$2000&gt;=DATE(2026,9,16))*(Transactions!B$3:B$2000&lt;=DATE(2026,9,22))*(Transactions!D$3:D$2000)),0)</f>
        <v>0</v>
      </c>
      <c r="G7" s="192">
        <f>IFERROR(SUMPRODUCT((Transactions!E$3:E$2000="Groceries")*ISNUMBER(Transactions!B$3:B$2000)*(Transactions!B$3:B$2000&gt;=DATE(2026,9,23))*(Transactions!B$3:B$2000&lt;=DATE(2026,9,30))*(Transactions!D$3:D$2000)),0)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Out")*ISNUMBER(Transactions!B$3:B$2000)*(Transactions!B$3:B$2000&gt;=DATE(2026,9,1))*(Transactions!B$3:B$2000&lt;=DATE(2026,9,7))*(Transactions!D$3:D$2000)),0)</f>
        <v>0</v>
      </c>
      <c r="E8" s="190">
        <f>IFERROR(SUMPRODUCT((Transactions!E$3:E$2000="Dining Out")*ISNUMBER(Transactions!B$3:B$2000)*(Transactions!B$3:B$2000&gt;=DATE(2026,9,8))*(Transactions!B$3:B$2000&lt;=DATE(2026,9,15))*(Transactions!D$3:D$2000)),0)</f>
        <v>0</v>
      </c>
      <c r="F8" s="191">
        <f>IFERROR(SUMPRODUCT((Transactions!E$3:E$2000="Dining Out")*ISNUMBER(Transactions!B$3:B$2000)*(Transactions!B$3:B$2000&gt;=DATE(2026,9,16))*(Transactions!B$3:B$2000&lt;=DATE(2026,9,22))*(Transactions!D$3:D$2000)),0)</f>
        <v>0</v>
      </c>
      <c r="G8" s="192">
        <f>IFERROR(SUMPRODUCT((Transactions!E$3:E$2000="Dining Out")*ISNUMBER(Transactions!B$3:B$2000)*(Transactions!B$3:B$2000&gt;=DATE(2026,9,23))*(Transactions!B$3:B$2000&lt;=DATE(2026,9,30))*(Transactions!D$3:D$2000)),0)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IFERROR(SUMPRODUCT((Transactions!E$3:E$2000="Fuel")*ISNUMBER(Transactions!B$3:B$2000)*(Transactions!B$3:B$2000&gt;=DATE(2026,9,1))*(Transactions!B$3:B$2000&lt;=DATE(2026,9,7))*(Transactions!D$3:D$2000)),0)</f>
        <v>0</v>
      </c>
      <c r="E9" s="190">
        <f>IFERROR(SUMPRODUCT((Transactions!E$3:E$2000="Fuel")*ISNUMBER(Transactions!B$3:B$2000)*(Transactions!B$3:B$2000&gt;=DATE(2026,9,8))*(Transactions!B$3:B$2000&lt;=DATE(2026,9,15))*(Transactions!D$3:D$2000)),0)</f>
        <v>0</v>
      </c>
      <c r="F9" s="191">
        <f>IFERROR(SUMPRODUCT((Transactions!E$3:E$2000="Fuel")*ISNUMBER(Transactions!B$3:B$2000)*(Transactions!B$3:B$2000&gt;=DATE(2026,9,16))*(Transactions!B$3:B$2000&lt;=DATE(2026,9,22))*(Transactions!D$3:D$2000)),0)</f>
        <v>0</v>
      </c>
      <c r="G9" s="192">
        <f>IFERROR(SUMPRODUCT((Transactions!E$3:E$2000="Fuel")*ISNUMBER(Transactions!B$3:B$2000)*(Transactions!B$3:B$2000&gt;=DATE(2026,9,23))*(Transactions!B$3:B$2000&lt;=DATE(2026,9,30))*(Transactions!D$3:D$2000)),0)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IFERROR(SUMPRODUCT((Transactions!E$3:E$2000="Coffee")*ISNUMBER(Transactions!B$3:B$2000)*(Transactions!B$3:B$2000&gt;=DATE(2026,9,1))*(Transactions!B$3:B$2000&lt;=DATE(2026,9,7))*(Transactions!D$3:D$2000)),0)</f>
        <v>0</v>
      </c>
      <c r="E10" s="190">
        <f>IFERROR(SUMPRODUCT((Transactions!E$3:E$2000="Coffee")*ISNUMBER(Transactions!B$3:B$2000)*(Transactions!B$3:B$2000&gt;=DATE(2026,9,8))*(Transactions!B$3:B$2000&lt;=DATE(2026,9,15))*(Transactions!D$3:D$2000)),0)</f>
        <v>0</v>
      </c>
      <c r="F10" s="191">
        <f>IFERROR(SUMPRODUCT((Transactions!E$3:E$2000="Coffee")*ISNUMBER(Transactions!B$3:B$2000)*(Transactions!B$3:B$2000&gt;=DATE(2026,9,16))*(Transactions!B$3:B$2000&lt;=DATE(2026,9,22))*(Transactions!D$3:D$2000)),0)</f>
        <v>0</v>
      </c>
      <c r="G10" s="192">
        <f>IFERROR(SUMPRODUCT((Transactions!E$3:E$2000="Coffee")*ISNUMBER(Transactions!B$3:B$2000)*(Transactions!B$3:B$2000&gt;=DATE(2026,9,23))*(Transactions!B$3:B$2000&lt;=DATE(2026,9,30))*(Transactions!D$3:D$2000)),0)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IFERROR(SUMPRODUCT((Transactions!E$3:E$2000="Entertainment")*ISNUMBER(Transactions!B$3:B$2000)*(Transactions!B$3:B$2000&gt;=DATE(2026,9,1))*(Transactions!B$3:B$2000&lt;=DATE(2026,9,7))*(Transactions!D$3:D$2000)),0)</f>
        <v>0</v>
      </c>
      <c r="E11" s="190">
        <f>IFERROR(SUMPRODUCT((Transactions!E$3:E$2000="Entertainment")*ISNUMBER(Transactions!B$3:B$2000)*(Transactions!B$3:B$2000&gt;=DATE(2026,9,8))*(Transactions!B$3:B$2000&lt;=DATE(2026,9,15))*(Transactions!D$3:D$2000)),0)</f>
        <v>0</v>
      </c>
      <c r="F11" s="191">
        <f>IFERROR(SUMPRODUCT((Transactions!E$3:E$2000="Entertainment")*ISNUMBER(Transactions!B$3:B$2000)*(Transactions!B$3:B$2000&gt;=DATE(2026,9,16))*(Transactions!B$3:B$2000&lt;=DATE(2026,9,22))*(Transactions!D$3:D$2000)),0)</f>
        <v>0</v>
      </c>
      <c r="G11" s="192">
        <f>IFERROR(SUMPRODUCT((Transactions!E$3:E$2000="Entertainment")*ISNUMBER(Transactions!B$3:B$2000)*(Transactions!B$3:B$2000&gt;=DATE(2026,9,23))*(Transactions!B$3:B$2000&lt;=DATE(2026,9,30))*(Transactions!D$3:D$2000)),0)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Care")*ISNUMBER(Transactions!B$3:B$2000)*(Transactions!B$3:B$2000&gt;=DATE(2026,9,1))*(Transactions!B$3:B$2000&lt;=DATE(2026,9,7))*(Transactions!D$3:D$2000)),0)</f>
        <v>0</v>
      </c>
      <c r="E12" s="190">
        <f>IFERROR(SUMPRODUCT((Transactions!E$3:E$2000="Personal Care")*ISNUMBER(Transactions!B$3:B$2000)*(Transactions!B$3:B$2000&gt;=DATE(2026,9,8))*(Transactions!B$3:B$2000&lt;=DATE(2026,9,15))*(Transactions!D$3:D$2000)),0)</f>
        <v>0</v>
      </c>
      <c r="F12" s="191">
        <f>IFERROR(SUMPRODUCT((Transactions!E$3:E$2000="Personal Care")*ISNUMBER(Transactions!B$3:B$2000)*(Transactions!B$3:B$2000&gt;=DATE(2026,9,16))*(Transactions!B$3:B$2000&lt;=DATE(2026,9,22))*(Transactions!D$3:D$2000)),0)</f>
        <v>0</v>
      </c>
      <c r="G12" s="192">
        <f>IFERROR(SUMPRODUCT((Transactions!E$3:E$2000="Personal Care")*ISNUMBER(Transactions!B$3:B$2000)*(Transactions!B$3:B$2000&gt;=DATE(2026,9,23))*(Transactions!B$3:B$2000&lt;=DATE(2026,9,30))*(Transactions!D$3:D$2000)),0)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IFERROR(SUMPRODUCT((Transactions!E$3:E$2000="Miscellaneous")*ISNUMBER(Transactions!B$3:B$2000)*(Transactions!B$3:B$2000&gt;=DATE(2026,9,1))*(Transactions!B$3:B$2000&lt;=DATE(2026,9,7))*(Transactions!D$3:D$2000)),0)</f>
        <v>0</v>
      </c>
      <c r="E13" s="190">
        <f>IFERROR(SUMPRODUCT((Transactions!E$3:E$2000="Miscellaneous")*ISNUMBER(Transactions!B$3:B$2000)*(Transactions!B$3:B$2000&gt;=DATE(2026,9,8))*(Transactions!B$3:B$2000&lt;=DATE(2026,9,15))*(Transactions!D$3:D$2000)),0)</f>
        <v>0</v>
      </c>
      <c r="F13" s="191">
        <f>IFERROR(SUMPRODUCT((Transactions!E$3:E$2000="Miscellaneous")*ISNUMBER(Transactions!B$3:B$2000)*(Transactions!B$3:B$2000&gt;=DATE(2026,9,16))*(Transactions!B$3:B$2000&lt;=DATE(2026,9,22))*(Transactions!D$3:D$2000)),0)</f>
        <v>0</v>
      </c>
      <c r="G13" s="192">
        <f>IFERROR(SUMPRODUCT((Transactions!E$3:E$2000="Miscellaneous")*ISNUMBER(Transactions!B$3:B$2000)*(Transactions!B$3:B$2000&gt;=DATE(2026,9,23))*(Transactions!B$3:B$2000&lt;=DATE(2026,9,30))*(Transactions!D$3:D$2000)),0)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IFERROR(SUMPRODUCT((Transactions!E$3:E$2000="Subscriptions")*ISNUMBER(Transactions!B$3:B$2000)*(Transactions!B$3:B$2000&gt;=DATE(2026,9,1))*(Transactions!B$3:B$2000&lt;=DATE(2026,9,7))*(Transactions!D$3:D$2000)),0)</f>
        <v>0</v>
      </c>
      <c r="E14" s="190">
        <f>IFERROR(SUMPRODUCT((Transactions!E$3:E$2000="Subscriptions")*ISNUMBER(Transactions!B$3:B$2000)*(Transactions!B$3:B$2000&gt;=DATE(2026,9,8))*(Transactions!B$3:B$2000&lt;=DATE(2026,9,15))*(Transactions!D$3:D$2000)),0)</f>
        <v>0</v>
      </c>
      <c r="F14" s="191">
        <f>IFERROR(SUMPRODUCT((Transactions!E$3:E$2000="Subscriptions")*ISNUMBER(Transactions!B$3:B$2000)*(Transactions!B$3:B$2000&gt;=DATE(2026,9,16))*(Transactions!B$3:B$2000&lt;=DATE(2026,9,22))*(Transactions!D$3:D$2000)),0)</f>
        <v>0</v>
      </c>
      <c r="G14" s="192">
        <f>IFERROR(SUMPRODUCT((Transactions!E$3:E$2000="Subscriptions")*ISNUMBER(Transactions!B$3:B$2000)*(Transactions!B$3:B$2000&gt;=DATE(2026,9,23))*(Transactions!B$3:B$2000&lt;=DATE(2026,9,30))*(Transactions!D$3:D$2000)),0)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IFERROR(SUMPRODUCT((Transactions!E$3:E$2000="Savings")*ISNUMBER(Transactions!B$3:B$2000)*(Transactions!B$3:B$2000&gt;=DATE(2026,9,1))*(Transactions!B$3:B$2000&lt;=DATE(2026,9,7))*(Transactions!D$3:D$2000)),0)</f>
        <v>0</v>
      </c>
      <c r="E15" s="190">
        <f>IFERROR(SUMPRODUCT((Transactions!E$3:E$2000="Savings")*ISNUMBER(Transactions!B$3:B$2000)*(Transactions!B$3:B$2000&gt;=DATE(2026,9,8))*(Transactions!B$3:B$2000&lt;=DATE(2026,9,15))*(Transactions!D$3:D$2000)),0)</f>
        <v>0</v>
      </c>
      <c r="F15" s="191">
        <f>IFERROR(SUMPRODUCT((Transactions!E$3:E$2000="Savings")*ISNUMBER(Transactions!B$3:B$2000)*(Transactions!B$3:B$2000&gt;=DATE(2026,9,16))*(Transactions!B$3:B$2000&lt;=DATE(2026,9,22))*(Transactions!D$3:D$2000)),0)</f>
        <v>0</v>
      </c>
      <c r="G15" s="192">
        <f>IFERROR(SUMPRODUCT((Transactions!E$3:E$2000="Savings")*ISNUMBER(Transactions!B$3:B$2000)*(Transactions!B$3:B$2000&gt;=DATE(2026,9,23))*(Transactions!B$3:B$2000&lt;=DATE(2026,9,30))*(Transactions!D$3:D$2000)),0)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IFERROR(SUMPRODUCT((Transactions!E$3:E$2000="Other")*ISNUMBER(Transactions!B$3:B$2000)*(Transactions!B$3:B$2000&gt;=DATE(2026,9,1))*(Transactions!B$3:B$2000&lt;=DATE(2026,9,7))*(Transactions!D$3:D$2000)),0)</f>
        <v>0</v>
      </c>
      <c r="E16" s="190">
        <f>IFERROR(SUMPRODUCT((Transactions!E$3:E$2000="Other")*ISNUMBER(Transactions!B$3:B$2000)*(Transactions!B$3:B$2000&gt;=DATE(2026,9,8))*(Transactions!B$3:B$2000&lt;=DATE(2026,9,15))*(Transactions!D$3:D$2000)),0)</f>
        <v>0</v>
      </c>
      <c r="F16" s="191">
        <f>IFERROR(SUMPRODUCT((Transactions!E$3:E$2000="Other")*ISNUMBER(Transactions!B$3:B$2000)*(Transactions!B$3:B$2000&gt;=DATE(2026,9,16))*(Transactions!B$3:B$2000&lt;=DATE(2026,9,22))*(Transactions!D$3:D$2000)),0)</f>
        <v>0</v>
      </c>
      <c r="G16" s="192">
        <f>IFERROR(SUMPRODUCT((Transactions!E$3:E$2000="Other")*ISNUMBER(Transactions!B$3:B$2000)*(Transactions!B$3:B$2000&gt;=DATE(2026,9,23))*(Transactions!B$3:B$2000&lt;=DATE(2026,9,30))*(Transactions!D$3:D$2000)),0)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290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291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292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293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294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295</v>
      </c>
      <c r="E6" s="184" t="s">
        <v>296</v>
      </c>
      <c r="F6" s="185" t="s">
        <v>297</v>
      </c>
      <c r="G6" s="186" t="s">
        <v>298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IFERROR(SUMPRODUCT((Transactions!E$3:E$2000="Groceries")*ISNUMBER(Transactions!B$3:B$2000)*(Transactions!B$3:B$2000&gt;=DATE(2026,10,1))*(Transactions!B$3:B$2000&lt;=DATE(2026,10,7))*(Transactions!D$3:D$2000)),0)</f>
        <v>0</v>
      </c>
      <c r="E7" s="190">
        <f>IFERROR(SUMPRODUCT((Transactions!E$3:E$2000="Groceries")*ISNUMBER(Transactions!B$3:B$2000)*(Transactions!B$3:B$2000&gt;=DATE(2026,10,8))*(Transactions!B$3:B$2000&lt;=DATE(2026,10,15))*(Transactions!D$3:D$2000)),0)</f>
        <v>0</v>
      </c>
      <c r="F7" s="191">
        <f>IFERROR(SUMPRODUCT((Transactions!E$3:E$2000="Groceries")*ISNUMBER(Transactions!B$3:B$2000)*(Transactions!B$3:B$2000&gt;=DATE(2026,10,16))*(Transactions!B$3:B$2000&lt;=DATE(2026,10,22))*(Transactions!D$3:D$2000)),0)</f>
        <v>0</v>
      </c>
      <c r="G7" s="192">
        <f>IFERROR(SUMPRODUCT((Transactions!E$3:E$2000="Groceries")*ISNUMBER(Transactions!B$3:B$2000)*(Transactions!B$3:B$2000&gt;=DATE(2026,10,23))*(Transactions!B$3:B$2000&lt;=DATE(2026,10,31))*(Transactions!D$3:D$2000)),0)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Out")*ISNUMBER(Transactions!B$3:B$2000)*(Transactions!B$3:B$2000&gt;=DATE(2026,10,1))*(Transactions!B$3:B$2000&lt;=DATE(2026,10,7))*(Transactions!D$3:D$2000)),0)</f>
        <v>0</v>
      </c>
      <c r="E8" s="190">
        <f>IFERROR(SUMPRODUCT((Transactions!E$3:E$2000="Dining Out")*ISNUMBER(Transactions!B$3:B$2000)*(Transactions!B$3:B$2000&gt;=DATE(2026,10,8))*(Transactions!B$3:B$2000&lt;=DATE(2026,10,15))*(Transactions!D$3:D$2000)),0)</f>
        <v>0</v>
      </c>
      <c r="F8" s="191">
        <f>IFERROR(SUMPRODUCT((Transactions!E$3:E$2000="Dining Out")*ISNUMBER(Transactions!B$3:B$2000)*(Transactions!B$3:B$2000&gt;=DATE(2026,10,16))*(Transactions!B$3:B$2000&lt;=DATE(2026,10,22))*(Transactions!D$3:D$2000)),0)</f>
        <v>0</v>
      </c>
      <c r="G8" s="192">
        <f>IFERROR(SUMPRODUCT((Transactions!E$3:E$2000="Dining Out")*ISNUMBER(Transactions!B$3:B$2000)*(Transactions!B$3:B$2000&gt;=DATE(2026,10,23))*(Transactions!B$3:B$2000&lt;=DATE(2026,10,31))*(Transactions!D$3:D$2000)),0)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IFERROR(SUMPRODUCT((Transactions!E$3:E$2000="Fuel")*ISNUMBER(Transactions!B$3:B$2000)*(Transactions!B$3:B$2000&gt;=DATE(2026,10,1))*(Transactions!B$3:B$2000&lt;=DATE(2026,10,7))*(Transactions!D$3:D$2000)),0)</f>
        <v>0</v>
      </c>
      <c r="E9" s="190">
        <f>IFERROR(SUMPRODUCT((Transactions!E$3:E$2000="Fuel")*ISNUMBER(Transactions!B$3:B$2000)*(Transactions!B$3:B$2000&gt;=DATE(2026,10,8))*(Transactions!B$3:B$2000&lt;=DATE(2026,10,15))*(Transactions!D$3:D$2000)),0)</f>
        <v>0</v>
      </c>
      <c r="F9" s="191">
        <f>IFERROR(SUMPRODUCT((Transactions!E$3:E$2000="Fuel")*ISNUMBER(Transactions!B$3:B$2000)*(Transactions!B$3:B$2000&gt;=DATE(2026,10,16))*(Transactions!B$3:B$2000&lt;=DATE(2026,10,22))*(Transactions!D$3:D$2000)),0)</f>
        <v>0</v>
      </c>
      <c r="G9" s="192">
        <f>IFERROR(SUMPRODUCT((Transactions!E$3:E$2000="Fuel")*ISNUMBER(Transactions!B$3:B$2000)*(Transactions!B$3:B$2000&gt;=DATE(2026,10,23))*(Transactions!B$3:B$2000&lt;=DATE(2026,10,31))*(Transactions!D$3:D$2000)),0)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IFERROR(SUMPRODUCT((Transactions!E$3:E$2000="Coffee")*ISNUMBER(Transactions!B$3:B$2000)*(Transactions!B$3:B$2000&gt;=DATE(2026,10,1))*(Transactions!B$3:B$2000&lt;=DATE(2026,10,7))*(Transactions!D$3:D$2000)),0)</f>
        <v>0</v>
      </c>
      <c r="E10" s="190">
        <f>IFERROR(SUMPRODUCT((Transactions!E$3:E$2000="Coffee")*ISNUMBER(Transactions!B$3:B$2000)*(Transactions!B$3:B$2000&gt;=DATE(2026,10,8))*(Transactions!B$3:B$2000&lt;=DATE(2026,10,15))*(Transactions!D$3:D$2000)),0)</f>
        <v>0</v>
      </c>
      <c r="F10" s="191">
        <f>IFERROR(SUMPRODUCT((Transactions!E$3:E$2000="Coffee")*ISNUMBER(Transactions!B$3:B$2000)*(Transactions!B$3:B$2000&gt;=DATE(2026,10,16))*(Transactions!B$3:B$2000&lt;=DATE(2026,10,22))*(Transactions!D$3:D$2000)),0)</f>
        <v>0</v>
      </c>
      <c r="G10" s="192">
        <f>IFERROR(SUMPRODUCT((Transactions!E$3:E$2000="Coffee")*ISNUMBER(Transactions!B$3:B$2000)*(Transactions!B$3:B$2000&gt;=DATE(2026,10,23))*(Transactions!B$3:B$2000&lt;=DATE(2026,10,31))*(Transactions!D$3:D$2000)),0)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IFERROR(SUMPRODUCT((Transactions!E$3:E$2000="Entertainment")*ISNUMBER(Transactions!B$3:B$2000)*(Transactions!B$3:B$2000&gt;=DATE(2026,10,1))*(Transactions!B$3:B$2000&lt;=DATE(2026,10,7))*(Transactions!D$3:D$2000)),0)</f>
        <v>0</v>
      </c>
      <c r="E11" s="190">
        <f>IFERROR(SUMPRODUCT((Transactions!E$3:E$2000="Entertainment")*ISNUMBER(Transactions!B$3:B$2000)*(Transactions!B$3:B$2000&gt;=DATE(2026,10,8))*(Transactions!B$3:B$2000&lt;=DATE(2026,10,15))*(Transactions!D$3:D$2000)),0)</f>
        <v>0</v>
      </c>
      <c r="F11" s="191">
        <f>IFERROR(SUMPRODUCT((Transactions!E$3:E$2000="Entertainment")*ISNUMBER(Transactions!B$3:B$2000)*(Transactions!B$3:B$2000&gt;=DATE(2026,10,16))*(Transactions!B$3:B$2000&lt;=DATE(2026,10,22))*(Transactions!D$3:D$2000)),0)</f>
        <v>0</v>
      </c>
      <c r="G11" s="192">
        <f>IFERROR(SUMPRODUCT((Transactions!E$3:E$2000="Entertainment")*ISNUMBER(Transactions!B$3:B$2000)*(Transactions!B$3:B$2000&gt;=DATE(2026,10,23))*(Transactions!B$3:B$2000&lt;=DATE(2026,10,31))*(Transactions!D$3:D$2000)),0)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Care")*ISNUMBER(Transactions!B$3:B$2000)*(Transactions!B$3:B$2000&gt;=DATE(2026,10,1))*(Transactions!B$3:B$2000&lt;=DATE(2026,10,7))*(Transactions!D$3:D$2000)),0)</f>
        <v>0</v>
      </c>
      <c r="E12" s="190">
        <f>IFERROR(SUMPRODUCT((Transactions!E$3:E$2000="Personal Care")*ISNUMBER(Transactions!B$3:B$2000)*(Transactions!B$3:B$2000&gt;=DATE(2026,10,8))*(Transactions!B$3:B$2000&lt;=DATE(2026,10,15))*(Transactions!D$3:D$2000)),0)</f>
        <v>0</v>
      </c>
      <c r="F12" s="191">
        <f>IFERROR(SUMPRODUCT((Transactions!E$3:E$2000="Personal Care")*ISNUMBER(Transactions!B$3:B$2000)*(Transactions!B$3:B$2000&gt;=DATE(2026,10,16))*(Transactions!B$3:B$2000&lt;=DATE(2026,10,22))*(Transactions!D$3:D$2000)),0)</f>
        <v>0</v>
      </c>
      <c r="G12" s="192">
        <f>IFERROR(SUMPRODUCT((Transactions!E$3:E$2000="Personal Care")*ISNUMBER(Transactions!B$3:B$2000)*(Transactions!B$3:B$2000&gt;=DATE(2026,10,23))*(Transactions!B$3:B$2000&lt;=DATE(2026,10,31))*(Transactions!D$3:D$2000)),0)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IFERROR(SUMPRODUCT((Transactions!E$3:E$2000="Miscellaneous")*ISNUMBER(Transactions!B$3:B$2000)*(Transactions!B$3:B$2000&gt;=DATE(2026,10,1))*(Transactions!B$3:B$2000&lt;=DATE(2026,10,7))*(Transactions!D$3:D$2000)),0)</f>
        <v>0</v>
      </c>
      <c r="E13" s="190">
        <f>IFERROR(SUMPRODUCT((Transactions!E$3:E$2000="Miscellaneous")*ISNUMBER(Transactions!B$3:B$2000)*(Transactions!B$3:B$2000&gt;=DATE(2026,10,8))*(Transactions!B$3:B$2000&lt;=DATE(2026,10,15))*(Transactions!D$3:D$2000)),0)</f>
        <v>0</v>
      </c>
      <c r="F13" s="191">
        <f>IFERROR(SUMPRODUCT((Transactions!E$3:E$2000="Miscellaneous")*ISNUMBER(Transactions!B$3:B$2000)*(Transactions!B$3:B$2000&gt;=DATE(2026,10,16))*(Transactions!B$3:B$2000&lt;=DATE(2026,10,22))*(Transactions!D$3:D$2000)),0)</f>
        <v>0</v>
      </c>
      <c r="G13" s="192">
        <f>IFERROR(SUMPRODUCT((Transactions!E$3:E$2000="Miscellaneous")*ISNUMBER(Transactions!B$3:B$2000)*(Transactions!B$3:B$2000&gt;=DATE(2026,10,23))*(Transactions!B$3:B$2000&lt;=DATE(2026,10,31))*(Transactions!D$3:D$2000)),0)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IFERROR(SUMPRODUCT((Transactions!E$3:E$2000="Subscriptions")*ISNUMBER(Transactions!B$3:B$2000)*(Transactions!B$3:B$2000&gt;=DATE(2026,10,1))*(Transactions!B$3:B$2000&lt;=DATE(2026,10,7))*(Transactions!D$3:D$2000)),0)</f>
        <v>0</v>
      </c>
      <c r="E14" s="190">
        <f>IFERROR(SUMPRODUCT((Transactions!E$3:E$2000="Subscriptions")*ISNUMBER(Transactions!B$3:B$2000)*(Transactions!B$3:B$2000&gt;=DATE(2026,10,8))*(Transactions!B$3:B$2000&lt;=DATE(2026,10,15))*(Transactions!D$3:D$2000)),0)</f>
        <v>0</v>
      </c>
      <c r="F14" s="191">
        <f>IFERROR(SUMPRODUCT((Transactions!E$3:E$2000="Subscriptions")*ISNUMBER(Transactions!B$3:B$2000)*(Transactions!B$3:B$2000&gt;=DATE(2026,10,16))*(Transactions!B$3:B$2000&lt;=DATE(2026,10,22))*(Transactions!D$3:D$2000)),0)</f>
        <v>0</v>
      </c>
      <c r="G14" s="192">
        <f>IFERROR(SUMPRODUCT((Transactions!E$3:E$2000="Subscriptions")*ISNUMBER(Transactions!B$3:B$2000)*(Transactions!B$3:B$2000&gt;=DATE(2026,10,23))*(Transactions!B$3:B$2000&lt;=DATE(2026,10,31))*(Transactions!D$3:D$2000)),0)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IFERROR(SUMPRODUCT((Transactions!E$3:E$2000="Savings")*ISNUMBER(Transactions!B$3:B$2000)*(Transactions!B$3:B$2000&gt;=DATE(2026,10,1))*(Transactions!B$3:B$2000&lt;=DATE(2026,10,7))*(Transactions!D$3:D$2000)),0)</f>
        <v>0</v>
      </c>
      <c r="E15" s="190">
        <f>IFERROR(SUMPRODUCT((Transactions!E$3:E$2000="Savings")*ISNUMBER(Transactions!B$3:B$2000)*(Transactions!B$3:B$2000&gt;=DATE(2026,10,8))*(Transactions!B$3:B$2000&lt;=DATE(2026,10,15))*(Transactions!D$3:D$2000)),0)</f>
        <v>0</v>
      </c>
      <c r="F15" s="191">
        <f>IFERROR(SUMPRODUCT((Transactions!E$3:E$2000="Savings")*ISNUMBER(Transactions!B$3:B$2000)*(Transactions!B$3:B$2000&gt;=DATE(2026,10,16))*(Transactions!B$3:B$2000&lt;=DATE(2026,10,22))*(Transactions!D$3:D$2000)),0)</f>
        <v>0</v>
      </c>
      <c r="G15" s="192">
        <f>IFERROR(SUMPRODUCT((Transactions!E$3:E$2000="Savings")*ISNUMBER(Transactions!B$3:B$2000)*(Transactions!B$3:B$2000&gt;=DATE(2026,10,23))*(Transactions!B$3:B$2000&lt;=DATE(2026,10,31))*(Transactions!D$3:D$2000)),0)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IFERROR(SUMPRODUCT((Transactions!E$3:E$2000="Other")*ISNUMBER(Transactions!B$3:B$2000)*(Transactions!B$3:B$2000&gt;=DATE(2026,10,1))*(Transactions!B$3:B$2000&lt;=DATE(2026,10,7))*(Transactions!D$3:D$2000)),0)</f>
        <v>0</v>
      </c>
      <c r="E16" s="190">
        <f>IFERROR(SUMPRODUCT((Transactions!E$3:E$2000="Other")*ISNUMBER(Transactions!B$3:B$2000)*(Transactions!B$3:B$2000&gt;=DATE(2026,10,8))*(Transactions!B$3:B$2000&lt;=DATE(2026,10,15))*(Transactions!D$3:D$2000)),0)</f>
        <v>0</v>
      </c>
      <c r="F16" s="191">
        <f>IFERROR(SUMPRODUCT((Transactions!E$3:E$2000="Other")*ISNUMBER(Transactions!B$3:B$2000)*(Transactions!B$3:B$2000&gt;=DATE(2026,10,16))*(Transactions!B$3:B$2000&lt;=DATE(2026,10,22))*(Transactions!D$3:D$2000)),0)</f>
        <v>0</v>
      </c>
      <c r="G16" s="192">
        <f>IFERROR(SUMPRODUCT((Transactions!E$3:E$2000="Other")*ISNUMBER(Transactions!B$3:B$2000)*(Transactions!B$3:B$2000&gt;=DATE(2026,10,23))*(Transactions!B$3:B$2000&lt;=DATE(2026,10,31))*(Transactions!D$3:D$2000)),0)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299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300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301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302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303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304</v>
      </c>
      <c r="E6" s="184" t="s">
        <v>305</v>
      </c>
      <c r="F6" s="185" t="s">
        <v>306</v>
      </c>
      <c r="G6" s="186" t="s">
        <v>307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IFERROR(SUMPRODUCT((Transactions!E$3:E$2000="Groceries")*ISNUMBER(Transactions!B$3:B$2000)*(Transactions!B$3:B$2000&gt;=DATE(2026,11,1))*(Transactions!B$3:B$2000&lt;=DATE(2026,11,7))*(Transactions!D$3:D$2000)),0)</f>
        <v>0</v>
      </c>
      <c r="E7" s="190">
        <f>IFERROR(SUMPRODUCT((Transactions!E$3:E$2000="Groceries")*ISNUMBER(Transactions!B$3:B$2000)*(Transactions!B$3:B$2000&gt;=DATE(2026,11,8))*(Transactions!B$3:B$2000&lt;=DATE(2026,11,15))*(Transactions!D$3:D$2000)),0)</f>
        <v>0</v>
      </c>
      <c r="F7" s="191">
        <f>IFERROR(SUMPRODUCT((Transactions!E$3:E$2000="Groceries")*ISNUMBER(Transactions!B$3:B$2000)*(Transactions!B$3:B$2000&gt;=DATE(2026,11,16))*(Transactions!B$3:B$2000&lt;=DATE(2026,11,22))*(Transactions!D$3:D$2000)),0)</f>
        <v>0</v>
      </c>
      <c r="G7" s="192">
        <f>IFERROR(SUMPRODUCT((Transactions!E$3:E$2000="Groceries")*ISNUMBER(Transactions!B$3:B$2000)*(Transactions!B$3:B$2000&gt;=DATE(2026,11,23))*(Transactions!B$3:B$2000&lt;=DATE(2026,11,30))*(Transactions!D$3:D$2000)),0)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Out")*ISNUMBER(Transactions!B$3:B$2000)*(Transactions!B$3:B$2000&gt;=DATE(2026,11,1))*(Transactions!B$3:B$2000&lt;=DATE(2026,11,7))*(Transactions!D$3:D$2000)),0)</f>
        <v>0</v>
      </c>
      <c r="E8" s="190">
        <f>IFERROR(SUMPRODUCT((Transactions!E$3:E$2000="Dining Out")*ISNUMBER(Transactions!B$3:B$2000)*(Transactions!B$3:B$2000&gt;=DATE(2026,11,8))*(Transactions!B$3:B$2000&lt;=DATE(2026,11,15))*(Transactions!D$3:D$2000)),0)</f>
        <v>0</v>
      </c>
      <c r="F8" s="191">
        <f>IFERROR(SUMPRODUCT((Transactions!E$3:E$2000="Dining Out")*ISNUMBER(Transactions!B$3:B$2000)*(Transactions!B$3:B$2000&gt;=DATE(2026,11,16))*(Transactions!B$3:B$2000&lt;=DATE(2026,11,22))*(Transactions!D$3:D$2000)),0)</f>
        <v>0</v>
      </c>
      <c r="G8" s="192">
        <f>IFERROR(SUMPRODUCT((Transactions!E$3:E$2000="Dining Out")*ISNUMBER(Transactions!B$3:B$2000)*(Transactions!B$3:B$2000&gt;=DATE(2026,11,23))*(Transactions!B$3:B$2000&lt;=DATE(2026,11,30))*(Transactions!D$3:D$2000)),0)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IFERROR(SUMPRODUCT((Transactions!E$3:E$2000="Fuel")*ISNUMBER(Transactions!B$3:B$2000)*(Transactions!B$3:B$2000&gt;=DATE(2026,11,1))*(Transactions!B$3:B$2000&lt;=DATE(2026,11,7))*(Transactions!D$3:D$2000)),0)</f>
        <v>0</v>
      </c>
      <c r="E9" s="190">
        <f>IFERROR(SUMPRODUCT((Transactions!E$3:E$2000="Fuel")*ISNUMBER(Transactions!B$3:B$2000)*(Transactions!B$3:B$2000&gt;=DATE(2026,11,8))*(Transactions!B$3:B$2000&lt;=DATE(2026,11,15))*(Transactions!D$3:D$2000)),0)</f>
        <v>0</v>
      </c>
      <c r="F9" s="191">
        <f>IFERROR(SUMPRODUCT((Transactions!E$3:E$2000="Fuel")*ISNUMBER(Transactions!B$3:B$2000)*(Transactions!B$3:B$2000&gt;=DATE(2026,11,16))*(Transactions!B$3:B$2000&lt;=DATE(2026,11,22))*(Transactions!D$3:D$2000)),0)</f>
        <v>0</v>
      </c>
      <c r="G9" s="192">
        <f>IFERROR(SUMPRODUCT((Transactions!E$3:E$2000="Fuel")*ISNUMBER(Transactions!B$3:B$2000)*(Transactions!B$3:B$2000&gt;=DATE(2026,11,23))*(Transactions!B$3:B$2000&lt;=DATE(2026,11,30))*(Transactions!D$3:D$2000)),0)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IFERROR(SUMPRODUCT((Transactions!E$3:E$2000="Coffee")*ISNUMBER(Transactions!B$3:B$2000)*(Transactions!B$3:B$2000&gt;=DATE(2026,11,1))*(Transactions!B$3:B$2000&lt;=DATE(2026,11,7))*(Transactions!D$3:D$2000)),0)</f>
        <v>0</v>
      </c>
      <c r="E10" s="190">
        <f>IFERROR(SUMPRODUCT((Transactions!E$3:E$2000="Coffee")*ISNUMBER(Transactions!B$3:B$2000)*(Transactions!B$3:B$2000&gt;=DATE(2026,11,8))*(Transactions!B$3:B$2000&lt;=DATE(2026,11,15))*(Transactions!D$3:D$2000)),0)</f>
        <v>0</v>
      </c>
      <c r="F10" s="191">
        <f>IFERROR(SUMPRODUCT((Transactions!E$3:E$2000="Coffee")*ISNUMBER(Transactions!B$3:B$2000)*(Transactions!B$3:B$2000&gt;=DATE(2026,11,16))*(Transactions!B$3:B$2000&lt;=DATE(2026,11,22))*(Transactions!D$3:D$2000)),0)</f>
        <v>0</v>
      </c>
      <c r="G10" s="192">
        <f>IFERROR(SUMPRODUCT((Transactions!E$3:E$2000="Coffee")*ISNUMBER(Transactions!B$3:B$2000)*(Transactions!B$3:B$2000&gt;=DATE(2026,11,23))*(Transactions!B$3:B$2000&lt;=DATE(2026,11,30))*(Transactions!D$3:D$2000)),0)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IFERROR(SUMPRODUCT((Transactions!E$3:E$2000="Entertainment")*ISNUMBER(Transactions!B$3:B$2000)*(Transactions!B$3:B$2000&gt;=DATE(2026,11,1))*(Transactions!B$3:B$2000&lt;=DATE(2026,11,7))*(Transactions!D$3:D$2000)),0)</f>
        <v>0</v>
      </c>
      <c r="E11" s="190">
        <f>IFERROR(SUMPRODUCT((Transactions!E$3:E$2000="Entertainment")*ISNUMBER(Transactions!B$3:B$2000)*(Transactions!B$3:B$2000&gt;=DATE(2026,11,8))*(Transactions!B$3:B$2000&lt;=DATE(2026,11,15))*(Transactions!D$3:D$2000)),0)</f>
        <v>0</v>
      </c>
      <c r="F11" s="191">
        <f>IFERROR(SUMPRODUCT((Transactions!E$3:E$2000="Entertainment")*ISNUMBER(Transactions!B$3:B$2000)*(Transactions!B$3:B$2000&gt;=DATE(2026,11,16))*(Transactions!B$3:B$2000&lt;=DATE(2026,11,22))*(Transactions!D$3:D$2000)),0)</f>
        <v>0</v>
      </c>
      <c r="G11" s="192">
        <f>IFERROR(SUMPRODUCT((Transactions!E$3:E$2000="Entertainment")*ISNUMBER(Transactions!B$3:B$2000)*(Transactions!B$3:B$2000&gt;=DATE(2026,11,23))*(Transactions!B$3:B$2000&lt;=DATE(2026,11,30))*(Transactions!D$3:D$2000)),0)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Care")*ISNUMBER(Transactions!B$3:B$2000)*(Transactions!B$3:B$2000&gt;=DATE(2026,11,1))*(Transactions!B$3:B$2000&lt;=DATE(2026,11,7))*(Transactions!D$3:D$2000)),0)</f>
        <v>0</v>
      </c>
      <c r="E12" s="190">
        <f>IFERROR(SUMPRODUCT((Transactions!E$3:E$2000="Personal Care")*ISNUMBER(Transactions!B$3:B$2000)*(Transactions!B$3:B$2000&gt;=DATE(2026,11,8))*(Transactions!B$3:B$2000&lt;=DATE(2026,11,15))*(Transactions!D$3:D$2000)),0)</f>
        <v>0</v>
      </c>
      <c r="F12" s="191">
        <f>IFERROR(SUMPRODUCT((Transactions!E$3:E$2000="Personal Care")*ISNUMBER(Transactions!B$3:B$2000)*(Transactions!B$3:B$2000&gt;=DATE(2026,11,16))*(Transactions!B$3:B$2000&lt;=DATE(2026,11,22))*(Transactions!D$3:D$2000)),0)</f>
        <v>0</v>
      </c>
      <c r="G12" s="192">
        <f>IFERROR(SUMPRODUCT((Transactions!E$3:E$2000="Personal Care")*ISNUMBER(Transactions!B$3:B$2000)*(Transactions!B$3:B$2000&gt;=DATE(2026,11,23))*(Transactions!B$3:B$2000&lt;=DATE(2026,11,30))*(Transactions!D$3:D$2000)),0)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IFERROR(SUMPRODUCT((Transactions!E$3:E$2000="Miscellaneous")*ISNUMBER(Transactions!B$3:B$2000)*(Transactions!B$3:B$2000&gt;=DATE(2026,11,1))*(Transactions!B$3:B$2000&lt;=DATE(2026,11,7))*(Transactions!D$3:D$2000)),0)</f>
        <v>0</v>
      </c>
      <c r="E13" s="190">
        <f>IFERROR(SUMPRODUCT((Transactions!E$3:E$2000="Miscellaneous")*ISNUMBER(Transactions!B$3:B$2000)*(Transactions!B$3:B$2000&gt;=DATE(2026,11,8))*(Transactions!B$3:B$2000&lt;=DATE(2026,11,15))*(Transactions!D$3:D$2000)),0)</f>
        <v>0</v>
      </c>
      <c r="F13" s="191">
        <f>IFERROR(SUMPRODUCT((Transactions!E$3:E$2000="Miscellaneous")*ISNUMBER(Transactions!B$3:B$2000)*(Transactions!B$3:B$2000&gt;=DATE(2026,11,16))*(Transactions!B$3:B$2000&lt;=DATE(2026,11,22))*(Transactions!D$3:D$2000)),0)</f>
        <v>0</v>
      </c>
      <c r="G13" s="192">
        <f>IFERROR(SUMPRODUCT((Transactions!E$3:E$2000="Miscellaneous")*ISNUMBER(Transactions!B$3:B$2000)*(Transactions!B$3:B$2000&gt;=DATE(2026,11,23))*(Transactions!B$3:B$2000&lt;=DATE(2026,11,30))*(Transactions!D$3:D$2000)),0)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IFERROR(SUMPRODUCT((Transactions!E$3:E$2000="Subscriptions")*ISNUMBER(Transactions!B$3:B$2000)*(Transactions!B$3:B$2000&gt;=DATE(2026,11,1))*(Transactions!B$3:B$2000&lt;=DATE(2026,11,7))*(Transactions!D$3:D$2000)),0)</f>
        <v>0</v>
      </c>
      <c r="E14" s="190">
        <f>IFERROR(SUMPRODUCT((Transactions!E$3:E$2000="Subscriptions")*ISNUMBER(Transactions!B$3:B$2000)*(Transactions!B$3:B$2000&gt;=DATE(2026,11,8))*(Transactions!B$3:B$2000&lt;=DATE(2026,11,15))*(Transactions!D$3:D$2000)),0)</f>
        <v>0</v>
      </c>
      <c r="F14" s="191">
        <f>IFERROR(SUMPRODUCT((Transactions!E$3:E$2000="Subscriptions")*ISNUMBER(Transactions!B$3:B$2000)*(Transactions!B$3:B$2000&gt;=DATE(2026,11,16))*(Transactions!B$3:B$2000&lt;=DATE(2026,11,22))*(Transactions!D$3:D$2000)),0)</f>
        <v>0</v>
      </c>
      <c r="G14" s="192">
        <f>IFERROR(SUMPRODUCT((Transactions!E$3:E$2000="Subscriptions")*ISNUMBER(Transactions!B$3:B$2000)*(Transactions!B$3:B$2000&gt;=DATE(2026,11,23))*(Transactions!B$3:B$2000&lt;=DATE(2026,11,30))*(Transactions!D$3:D$2000)),0)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IFERROR(SUMPRODUCT((Transactions!E$3:E$2000="Savings")*ISNUMBER(Transactions!B$3:B$2000)*(Transactions!B$3:B$2000&gt;=DATE(2026,11,1))*(Transactions!B$3:B$2000&lt;=DATE(2026,11,7))*(Transactions!D$3:D$2000)),0)</f>
        <v>0</v>
      </c>
      <c r="E15" s="190">
        <f>IFERROR(SUMPRODUCT((Transactions!E$3:E$2000="Savings")*ISNUMBER(Transactions!B$3:B$2000)*(Transactions!B$3:B$2000&gt;=DATE(2026,11,8))*(Transactions!B$3:B$2000&lt;=DATE(2026,11,15))*(Transactions!D$3:D$2000)),0)</f>
        <v>0</v>
      </c>
      <c r="F15" s="191">
        <f>IFERROR(SUMPRODUCT((Transactions!E$3:E$2000="Savings")*ISNUMBER(Transactions!B$3:B$2000)*(Transactions!B$3:B$2000&gt;=DATE(2026,11,16))*(Transactions!B$3:B$2000&lt;=DATE(2026,11,22))*(Transactions!D$3:D$2000)),0)</f>
        <v>0</v>
      </c>
      <c r="G15" s="192">
        <f>IFERROR(SUMPRODUCT((Transactions!E$3:E$2000="Savings")*ISNUMBER(Transactions!B$3:B$2000)*(Transactions!B$3:B$2000&gt;=DATE(2026,11,23))*(Transactions!B$3:B$2000&lt;=DATE(2026,11,30))*(Transactions!D$3:D$2000)),0)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IFERROR(SUMPRODUCT((Transactions!E$3:E$2000="Other")*ISNUMBER(Transactions!B$3:B$2000)*(Transactions!B$3:B$2000&gt;=DATE(2026,11,1))*(Transactions!B$3:B$2000&lt;=DATE(2026,11,7))*(Transactions!D$3:D$2000)),0)</f>
        <v>0</v>
      </c>
      <c r="E16" s="190">
        <f>IFERROR(SUMPRODUCT((Transactions!E$3:E$2000="Other")*ISNUMBER(Transactions!B$3:B$2000)*(Transactions!B$3:B$2000&gt;=DATE(2026,11,8))*(Transactions!B$3:B$2000&lt;=DATE(2026,11,15))*(Transactions!D$3:D$2000)),0)</f>
        <v>0</v>
      </c>
      <c r="F16" s="191">
        <f>IFERROR(SUMPRODUCT((Transactions!E$3:E$2000="Other")*ISNUMBER(Transactions!B$3:B$2000)*(Transactions!B$3:B$2000&gt;=DATE(2026,11,16))*(Transactions!B$3:B$2000&lt;=DATE(2026,11,22))*(Transactions!D$3:D$2000)),0)</f>
        <v>0</v>
      </c>
      <c r="G16" s="192">
        <f>IFERROR(SUMPRODUCT((Transactions!E$3:E$2000="Other")*ISNUMBER(Transactions!B$3:B$2000)*(Transactions!B$3:B$2000&gt;=DATE(2026,11,23))*(Transactions!B$3:B$2000&lt;=DATE(2026,11,30))*(Transactions!D$3:D$2000)),0)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308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309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310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311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3.0"/>
    <col customWidth="1" min="10" max="10" width="9.0"/>
    <col customWidth="1" min="11" max="11" width="16.0"/>
    <col customWidth="1" min="12" max="26" width="8.57"/>
  </cols>
  <sheetData>
    <row r="1" ht="31.5" customHeight="1">
      <c r="B1" s="172" t="s">
        <v>312</v>
      </c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8.0" customHeight="1">
      <c r="B3" s="173" t="s">
        <v>196</v>
      </c>
      <c r="C3" s="174" t="s">
        <v>197</v>
      </c>
      <c r="D3" s="175" t="s">
        <v>192</v>
      </c>
      <c r="E3" s="176" t="s">
        <v>191</v>
      </c>
    </row>
    <row r="4" ht="36.0" customHeight="1">
      <c r="B4" s="177">
        <f>Setup!C2</f>
        <v>883</v>
      </c>
      <c r="C4" s="178">
        <f>Setup!C11</f>
        <v>135.1</v>
      </c>
      <c r="D4" s="179">
        <f>Setup!C13</f>
        <v>0</v>
      </c>
      <c r="E4" s="180">
        <f>Setup!C14</f>
        <v>467.9</v>
      </c>
    </row>
    <row r="5" ht="7.5" customHeight="1"/>
    <row r="6" ht="30.0" customHeight="1">
      <c r="B6" s="181" t="s">
        <v>14</v>
      </c>
      <c r="C6" s="182" t="s">
        <v>198</v>
      </c>
      <c r="D6" s="183" t="s">
        <v>313</v>
      </c>
      <c r="E6" s="184" t="s">
        <v>314</v>
      </c>
      <c r="F6" s="185" t="s">
        <v>315</v>
      </c>
      <c r="G6" s="186" t="s">
        <v>316</v>
      </c>
      <c r="H6" s="182" t="s">
        <v>203</v>
      </c>
      <c r="I6" s="182" t="s">
        <v>38</v>
      </c>
      <c r="J6" s="182" t="s">
        <v>18</v>
      </c>
      <c r="K6" s="182" t="s">
        <v>12</v>
      </c>
    </row>
    <row r="7" ht="18.0" customHeight="1">
      <c r="B7" s="187" t="s">
        <v>23</v>
      </c>
      <c r="C7" s="188">
        <v>50.0</v>
      </c>
      <c r="D7" s="189">
        <f>IFERROR(SUMPRODUCT((Transactions!E$3:E$2000="Groceries")*ISNUMBER(Transactions!B$3:B$2000)*(Transactions!B$3:B$2000&gt;=DATE(2026,12,1))*(Transactions!B$3:B$2000&lt;=DATE(2026,12,7))*(Transactions!D$3:D$2000)),0)</f>
        <v>0</v>
      </c>
      <c r="E7" s="190">
        <f>IFERROR(SUMPRODUCT((Transactions!E$3:E$2000="Groceries")*ISNUMBER(Transactions!B$3:B$2000)*(Transactions!B$3:B$2000&gt;=DATE(2026,12,8))*(Transactions!B$3:B$2000&lt;=DATE(2026,12,15))*(Transactions!D$3:D$2000)),0)</f>
        <v>0</v>
      </c>
      <c r="F7" s="191">
        <f>IFERROR(SUMPRODUCT((Transactions!E$3:E$2000="Groceries")*ISNUMBER(Transactions!B$3:B$2000)*(Transactions!B$3:B$2000&gt;=DATE(2026,12,16))*(Transactions!B$3:B$2000&lt;=DATE(2026,12,22))*(Transactions!D$3:D$2000)),0)</f>
        <v>0</v>
      </c>
      <c r="G7" s="192">
        <f>IFERROR(SUMPRODUCT((Transactions!E$3:E$2000="Groceries")*ISNUMBER(Transactions!B$3:B$2000)*(Transactions!B$3:B$2000&gt;=DATE(2026,12,23))*(Transactions!B$3:B$2000&lt;=DATE(2026,12,31))*(Transactions!D$3:D$2000)),0)</f>
        <v>0</v>
      </c>
      <c r="H7" s="193">
        <f t="shared" ref="H7:H16" si="1">SUM(D7:G7)</f>
        <v>0</v>
      </c>
      <c r="I7" s="193">
        <f t="shared" ref="I7:I16" si="2">C7-H7</f>
        <v>50</v>
      </c>
      <c r="J7" s="194">
        <f t="shared" ref="J7:J17" si="3">IFERROR(H7/C7,0)</f>
        <v>0</v>
      </c>
      <c r="K7" s="195" t="str">
        <f t="shared" ref="K7:K16" si="4">IF(C7=0,"—",IF(H7=0,"Not started",IF(H7&gt;=C7,"❌ Over budget",IF(H7/C7&gt;=0.8,"⚠️ Near limit","✅ On track"))))</f>
        <v>Not started</v>
      </c>
    </row>
    <row r="8" ht="18.0" customHeight="1">
      <c r="B8" s="196" t="s">
        <v>24</v>
      </c>
      <c r="C8" s="197">
        <v>100.0</v>
      </c>
      <c r="D8" s="189">
        <f>IFERROR(SUMPRODUCT((Transactions!E$3:E$2000="Dining Out")*ISNUMBER(Transactions!B$3:B$2000)*(Transactions!B$3:B$2000&gt;=DATE(2026,12,1))*(Transactions!B$3:B$2000&lt;=DATE(2026,12,7))*(Transactions!D$3:D$2000)),0)</f>
        <v>0</v>
      </c>
      <c r="E8" s="190">
        <f>IFERROR(SUMPRODUCT((Transactions!E$3:E$2000="Dining Out")*ISNUMBER(Transactions!B$3:B$2000)*(Transactions!B$3:B$2000&gt;=DATE(2026,12,8))*(Transactions!B$3:B$2000&lt;=DATE(2026,12,15))*(Transactions!D$3:D$2000)),0)</f>
        <v>0</v>
      </c>
      <c r="F8" s="191">
        <f>IFERROR(SUMPRODUCT((Transactions!E$3:E$2000="Dining Out")*ISNUMBER(Transactions!B$3:B$2000)*(Transactions!B$3:B$2000&gt;=DATE(2026,12,16))*(Transactions!B$3:B$2000&lt;=DATE(2026,12,22))*(Transactions!D$3:D$2000)),0)</f>
        <v>0</v>
      </c>
      <c r="G8" s="192">
        <f>IFERROR(SUMPRODUCT((Transactions!E$3:E$2000="Dining Out")*ISNUMBER(Transactions!B$3:B$2000)*(Transactions!B$3:B$2000&gt;=DATE(2026,12,23))*(Transactions!B$3:B$2000&lt;=DATE(2026,12,31))*(Transactions!D$3:D$2000)),0)</f>
        <v>0</v>
      </c>
      <c r="H8" s="198">
        <f t="shared" si="1"/>
        <v>0</v>
      </c>
      <c r="I8" s="198">
        <f t="shared" si="2"/>
        <v>100</v>
      </c>
      <c r="J8" s="199">
        <f t="shared" si="3"/>
        <v>0</v>
      </c>
      <c r="K8" s="200" t="str">
        <f t="shared" si="4"/>
        <v>Not started</v>
      </c>
    </row>
    <row r="9" ht="18.0" customHeight="1">
      <c r="B9" s="187" t="s">
        <v>25</v>
      </c>
      <c r="C9" s="188">
        <v>75.0</v>
      </c>
      <c r="D9" s="189">
        <f>IFERROR(SUMPRODUCT((Transactions!E$3:E$2000="Fuel")*ISNUMBER(Transactions!B$3:B$2000)*(Transactions!B$3:B$2000&gt;=DATE(2026,12,1))*(Transactions!B$3:B$2000&lt;=DATE(2026,12,7))*(Transactions!D$3:D$2000)),0)</f>
        <v>0</v>
      </c>
      <c r="E9" s="190">
        <f>IFERROR(SUMPRODUCT((Transactions!E$3:E$2000="Fuel")*ISNUMBER(Transactions!B$3:B$2000)*(Transactions!B$3:B$2000&gt;=DATE(2026,12,8))*(Transactions!B$3:B$2000&lt;=DATE(2026,12,15))*(Transactions!D$3:D$2000)),0)</f>
        <v>0</v>
      </c>
      <c r="F9" s="191">
        <f>IFERROR(SUMPRODUCT((Transactions!E$3:E$2000="Fuel")*ISNUMBER(Transactions!B$3:B$2000)*(Transactions!B$3:B$2000&gt;=DATE(2026,12,16))*(Transactions!B$3:B$2000&lt;=DATE(2026,12,22))*(Transactions!D$3:D$2000)),0)</f>
        <v>0</v>
      </c>
      <c r="G9" s="192">
        <f>IFERROR(SUMPRODUCT((Transactions!E$3:E$2000="Fuel")*ISNUMBER(Transactions!B$3:B$2000)*(Transactions!B$3:B$2000&gt;=DATE(2026,12,23))*(Transactions!B$3:B$2000&lt;=DATE(2026,12,31))*(Transactions!D$3:D$2000)),0)</f>
        <v>0</v>
      </c>
      <c r="H9" s="193">
        <f t="shared" si="1"/>
        <v>0</v>
      </c>
      <c r="I9" s="193">
        <f t="shared" si="2"/>
        <v>75</v>
      </c>
      <c r="J9" s="194">
        <f t="shared" si="3"/>
        <v>0</v>
      </c>
      <c r="K9" s="195" t="str">
        <f t="shared" si="4"/>
        <v>Not started</v>
      </c>
    </row>
    <row r="10" ht="18.0" customHeight="1">
      <c r="B10" s="196" t="s">
        <v>26</v>
      </c>
      <c r="C10" s="197">
        <v>50.0</v>
      </c>
      <c r="D10" s="189">
        <f>IFERROR(SUMPRODUCT((Transactions!E$3:E$2000="Coffee")*ISNUMBER(Transactions!B$3:B$2000)*(Transactions!B$3:B$2000&gt;=DATE(2026,12,1))*(Transactions!B$3:B$2000&lt;=DATE(2026,12,7))*(Transactions!D$3:D$2000)),0)</f>
        <v>0</v>
      </c>
      <c r="E10" s="190">
        <f>IFERROR(SUMPRODUCT((Transactions!E$3:E$2000="Coffee")*ISNUMBER(Transactions!B$3:B$2000)*(Transactions!B$3:B$2000&gt;=DATE(2026,12,8))*(Transactions!B$3:B$2000&lt;=DATE(2026,12,15))*(Transactions!D$3:D$2000)),0)</f>
        <v>0</v>
      </c>
      <c r="F10" s="191">
        <f>IFERROR(SUMPRODUCT((Transactions!E$3:E$2000="Coffee")*ISNUMBER(Transactions!B$3:B$2000)*(Transactions!B$3:B$2000&gt;=DATE(2026,12,16))*(Transactions!B$3:B$2000&lt;=DATE(2026,12,22))*(Transactions!D$3:D$2000)),0)</f>
        <v>0</v>
      </c>
      <c r="G10" s="192">
        <f>IFERROR(SUMPRODUCT((Transactions!E$3:E$2000="Coffee")*ISNUMBER(Transactions!B$3:B$2000)*(Transactions!B$3:B$2000&gt;=DATE(2026,12,23))*(Transactions!B$3:B$2000&lt;=DATE(2026,12,31))*(Transactions!D$3:D$2000)),0)</f>
        <v>0</v>
      </c>
      <c r="H10" s="198">
        <f t="shared" si="1"/>
        <v>0</v>
      </c>
      <c r="I10" s="198">
        <f t="shared" si="2"/>
        <v>50</v>
      </c>
      <c r="J10" s="199">
        <f t="shared" si="3"/>
        <v>0</v>
      </c>
      <c r="K10" s="200" t="str">
        <f t="shared" si="4"/>
        <v>Not started</v>
      </c>
    </row>
    <row r="11" ht="18.0" customHeight="1">
      <c r="B11" s="187" t="s">
        <v>27</v>
      </c>
      <c r="C11" s="188">
        <v>20.0</v>
      </c>
      <c r="D11" s="189">
        <f>IFERROR(SUMPRODUCT((Transactions!E$3:E$2000="Entertainment")*ISNUMBER(Transactions!B$3:B$2000)*(Transactions!B$3:B$2000&gt;=DATE(2026,12,1))*(Transactions!B$3:B$2000&lt;=DATE(2026,12,7))*(Transactions!D$3:D$2000)),0)</f>
        <v>0</v>
      </c>
      <c r="E11" s="190">
        <f>IFERROR(SUMPRODUCT((Transactions!E$3:E$2000="Entertainment")*ISNUMBER(Transactions!B$3:B$2000)*(Transactions!B$3:B$2000&gt;=DATE(2026,12,8))*(Transactions!B$3:B$2000&lt;=DATE(2026,12,15))*(Transactions!D$3:D$2000)),0)</f>
        <v>0</v>
      </c>
      <c r="F11" s="191">
        <f>IFERROR(SUMPRODUCT((Transactions!E$3:E$2000="Entertainment")*ISNUMBER(Transactions!B$3:B$2000)*(Transactions!B$3:B$2000&gt;=DATE(2026,12,16))*(Transactions!B$3:B$2000&lt;=DATE(2026,12,22))*(Transactions!D$3:D$2000)),0)</f>
        <v>0</v>
      </c>
      <c r="G11" s="192">
        <f>IFERROR(SUMPRODUCT((Transactions!E$3:E$2000="Entertainment")*ISNUMBER(Transactions!B$3:B$2000)*(Transactions!B$3:B$2000&gt;=DATE(2026,12,23))*(Transactions!B$3:B$2000&lt;=DATE(2026,12,31))*(Transactions!D$3:D$2000)),0)</f>
        <v>0</v>
      </c>
      <c r="H11" s="193">
        <f t="shared" si="1"/>
        <v>0</v>
      </c>
      <c r="I11" s="193">
        <f t="shared" si="2"/>
        <v>20</v>
      </c>
      <c r="J11" s="194">
        <f t="shared" si="3"/>
        <v>0</v>
      </c>
      <c r="K11" s="195" t="str">
        <f t="shared" si="4"/>
        <v>Not started</v>
      </c>
    </row>
    <row r="12" ht="18.0" customHeight="1">
      <c r="B12" s="196" t="s">
        <v>28</v>
      </c>
      <c r="C12" s="197">
        <v>15.0</v>
      </c>
      <c r="D12" s="189">
        <f>IFERROR(SUMPRODUCT((Transactions!E$3:E$2000="Personal Care")*ISNUMBER(Transactions!B$3:B$2000)*(Transactions!B$3:B$2000&gt;=DATE(2026,12,1))*(Transactions!B$3:B$2000&lt;=DATE(2026,12,7))*(Transactions!D$3:D$2000)),0)</f>
        <v>0</v>
      </c>
      <c r="E12" s="190">
        <f>IFERROR(SUMPRODUCT((Transactions!E$3:E$2000="Personal Care")*ISNUMBER(Transactions!B$3:B$2000)*(Transactions!B$3:B$2000&gt;=DATE(2026,12,8))*(Transactions!B$3:B$2000&lt;=DATE(2026,12,15))*(Transactions!D$3:D$2000)),0)</f>
        <v>0</v>
      </c>
      <c r="F12" s="191">
        <f>IFERROR(SUMPRODUCT((Transactions!E$3:E$2000="Personal Care")*ISNUMBER(Transactions!B$3:B$2000)*(Transactions!B$3:B$2000&gt;=DATE(2026,12,16))*(Transactions!B$3:B$2000&lt;=DATE(2026,12,22))*(Transactions!D$3:D$2000)),0)</f>
        <v>0</v>
      </c>
      <c r="G12" s="192">
        <f>IFERROR(SUMPRODUCT((Transactions!E$3:E$2000="Personal Care")*ISNUMBER(Transactions!B$3:B$2000)*(Transactions!B$3:B$2000&gt;=DATE(2026,12,23))*(Transactions!B$3:B$2000&lt;=DATE(2026,12,31))*(Transactions!D$3:D$2000)),0)</f>
        <v>0</v>
      </c>
      <c r="H12" s="198">
        <f t="shared" si="1"/>
        <v>0</v>
      </c>
      <c r="I12" s="198">
        <f t="shared" si="2"/>
        <v>15</v>
      </c>
      <c r="J12" s="199">
        <f t="shared" si="3"/>
        <v>0</v>
      </c>
      <c r="K12" s="200" t="str">
        <f t="shared" si="4"/>
        <v>Not started</v>
      </c>
    </row>
    <row r="13" ht="18.0" customHeight="1">
      <c r="B13" s="187" t="s">
        <v>29</v>
      </c>
      <c r="C13" s="188">
        <v>40.0</v>
      </c>
      <c r="D13" s="189">
        <f>IFERROR(SUMPRODUCT((Transactions!E$3:E$2000="Miscellaneous")*ISNUMBER(Transactions!B$3:B$2000)*(Transactions!B$3:B$2000&gt;=DATE(2026,12,1))*(Transactions!B$3:B$2000&lt;=DATE(2026,12,7))*(Transactions!D$3:D$2000)),0)</f>
        <v>0</v>
      </c>
      <c r="E13" s="190">
        <f>IFERROR(SUMPRODUCT((Transactions!E$3:E$2000="Miscellaneous")*ISNUMBER(Transactions!B$3:B$2000)*(Transactions!B$3:B$2000&gt;=DATE(2026,12,8))*(Transactions!B$3:B$2000&lt;=DATE(2026,12,15))*(Transactions!D$3:D$2000)),0)</f>
        <v>0</v>
      </c>
      <c r="F13" s="191">
        <f>IFERROR(SUMPRODUCT((Transactions!E$3:E$2000="Miscellaneous")*ISNUMBER(Transactions!B$3:B$2000)*(Transactions!B$3:B$2000&gt;=DATE(2026,12,16))*(Transactions!B$3:B$2000&lt;=DATE(2026,12,22))*(Transactions!D$3:D$2000)),0)</f>
        <v>0</v>
      </c>
      <c r="G13" s="192">
        <f>IFERROR(SUMPRODUCT((Transactions!E$3:E$2000="Miscellaneous")*ISNUMBER(Transactions!B$3:B$2000)*(Transactions!B$3:B$2000&gt;=DATE(2026,12,23))*(Transactions!B$3:B$2000&lt;=DATE(2026,12,31))*(Transactions!D$3:D$2000)),0)</f>
        <v>0</v>
      </c>
      <c r="H13" s="193">
        <f t="shared" si="1"/>
        <v>0</v>
      </c>
      <c r="I13" s="193">
        <f t="shared" si="2"/>
        <v>40</v>
      </c>
      <c r="J13" s="194">
        <f t="shared" si="3"/>
        <v>0</v>
      </c>
      <c r="K13" s="195" t="str">
        <f t="shared" si="4"/>
        <v>Not started</v>
      </c>
    </row>
    <row r="14" ht="18.0" customHeight="1">
      <c r="B14" s="196" t="s">
        <v>30</v>
      </c>
      <c r="C14" s="197">
        <v>10.0</v>
      </c>
      <c r="D14" s="189">
        <f>IFERROR(SUMPRODUCT((Transactions!E$3:E$2000="Subscriptions")*ISNUMBER(Transactions!B$3:B$2000)*(Transactions!B$3:B$2000&gt;=DATE(2026,12,1))*(Transactions!B$3:B$2000&lt;=DATE(2026,12,7))*(Transactions!D$3:D$2000)),0)</f>
        <v>0</v>
      </c>
      <c r="E14" s="190">
        <f>IFERROR(SUMPRODUCT((Transactions!E$3:E$2000="Subscriptions")*ISNUMBER(Transactions!B$3:B$2000)*(Transactions!B$3:B$2000&gt;=DATE(2026,12,8))*(Transactions!B$3:B$2000&lt;=DATE(2026,12,15))*(Transactions!D$3:D$2000)),0)</f>
        <v>0</v>
      </c>
      <c r="F14" s="191">
        <f>IFERROR(SUMPRODUCT((Transactions!E$3:E$2000="Subscriptions")*ISNUMBER(Transactions!B$3:B$2000)*(Transactions!B$3:B$2000&gt;=DATE(2026,12,16))*(Transactions!B$3:B$2000&lt;=DATE(2026,12,22))*(Transactions!D$3:D$2000)),0)</f>
        <v>0</v>
      </c>
      <c r="G14" s="192">
        <f>IFERROR(SUMPRODUCT((Transactions!E$3:E$2000="Subscriptions")*ISNUMBER(Transactions!B$3:B$2000)*(Transactions!B$3:B$2000&gt;=DATE(2026,12,23))*(Transactions!B$3:B$2000&lt;=DATE(2026,12,31))*(Transactions!D$3:D$2000)),0)</f>
        <v>0</v>
      </c>
      <c r="H14" s="198">
        <f t="shared" si="1"/>
        <v>0</v>
      </c>
      <c r="I14" s="198">
        <f t="shared" si="2"/>
        <v>10</v>
      </c>
      <c r="J14" s="199">
        <f t="shared" si="3"/>
        <v>0</v>
      </c>
      <c r="K14" s="200" t="str">
        <f t="shared" si="4"/>
        <v>Not started</v>
      </c>
    </row>
    <row r="15" ht="18.0" customHeight="1">
      <c r="B15" s="187" t="s">
        <v>31</v>
      </c>
      <c r="C15" s="188">
        <v>100.0</v>
      </c>
      <c r="D15" s="189">
        <f>IFERROR(SUMPRODUCT((Transactions!E$3:E$2000="Savings")*ISNUMBER(Transactions!B$3:B$2000)*(Transactions!B$3:B$2000&gt;=DATE(2026,12,1))*(Transactions!B$3:B$2000&lt;=DATE(2026,12,7))*(Transactions!D$3:D$2000)),0)</f>
        <v>0</v>
      </c>
      <c r="E15" s="190">
        <f>IFERROR(SUMPRODUCT((Transactions!E$3:E$2000="Savings")*ISNUMBER(Transactions!B$3:B$2000)*(Transactions!B$3:B$2000&gt;=DATE(2026,12,8))*(Transactions!B$3:B$2000&lt;=DATE(2026,12,15))*(Transactions!D$3:D$2000)),0)</f>
        <v>0</v>
      </c>
      <c r="F15" s="191">
        <f>IFERROR(SUMPRODUCT((Transactions!E$3:E$2000="Savings")*ISNUMBER(Transactions!B$3:B$2000)*(Transactions!B$3:B$2000&gt;=DATE(2026,12,16))*(Transactions!B$3:B$2000&lt;=DATE(2026,12,22))*(Transactions!D$3:D$2000)),0)</f>
        <v>0</v>
      </c>
      <c r="G15" s="192">
        <f>IFERROR(SUMPRODUCT((Transactions!E$3:E$2000="Savings")*ISNUMBER(Transactions!B$3:B$2000)*(Transactions!B$3:B$2000&gt;=DATE(2026,12,23))*(Transactions!B$3:B$2000&lt;=DATE(2026,12,31))*(Transactions!D$3:D$2000)),0)</f>
        <v>0</v>
      </c>
      <c r="H15" s="193">
        <f t="shared" si="1"/>
        <v>0</v>
      </c>
      <c r="I15" s="193">
        <f t="shared" si="2"/>
        <v>100</v>
      </c>
      <c r="J15" s="194">
        <f t="shared" si="3"/>
        <v>0</v>
      </c>
      <c r="K15" s="195" t="str">
        <f t="shared" si="4"/>
        <v>Not started</v>
      </c>
    </row>
    <row r="16" ht="18.0" customHeight="1">
      <c r="B16" s="196" t="s">
        <v>32</v>
      </c>
      <c r="C16" s="197">
        <v>0.0</v>
      </c>
      <c r="D16" s="189">
        <f>IFERROR(SUMPRODUCT((Transactions!E$3:E$2000="Other")*ISNUMBER(Transactions!B$3:B$2000)*(Transactions!B$3:B$2000&gt;=DATE(2026,12,1))*(Transactions!B$3:B$2000&lt;=DATE(2026,12,7))*(Transactions!D$3:D$2000)),0)</f>
        <v>0</v>
      </c>
      <c r="E16" s="190">
        <f>IFERROR(SUMPRODUCT((Transactions!E$3:E$2000="Other")*ISNUMBER(Transactions!B$3:B$2000)*(Transactions!B$3:B$2000&gt;=DATE(2026,12,8))*(Transactions!B$3:B$2000&lt;=DATE(2026,12,15))*(Transactions!D$3:D$2000)),0)</f>
        <v>0</v>
      </c>
      <c r="F16" s="191">
        <f>IFERROR(SUMPRODUCT((Transactions!E$3:E$2000="Other")*ISNUMBER(Transactions!B$3:B$2000)*(Transactions!B$3:B$2000&gt;=DATE(2026,12,16))*(Transactions!B$3:B$2000&lt;=DATE(2026,12,22))*(Transactions!D$3:D$2000)),0)</f>
        <v>0</v>
      </c>
      <c r="G16" s="192">
        <f>IFERROR(SUMPRODUCT((Transactions!E$3:E$2000="Other")*ISNUMBER(Transactions!B$3:B$2000)*(Transactions!B$3:B$2000&gt;=DATE(2026,12,23))*(Transactions!B$3:B$2000&lt;=DATE(2026,12,31))*(Transactions!D$3:D$2000)),0)</f>
        <v>0</v>
      </c>
      <c r="H16" s="198">
        <f t="shared" si="1"/>
        <v>0</v>
      </c>
      <c r="I16" s="198">
        <f t="shared" si="2"/>
        <v>0</v>
      </c>
      <c r="J16" s="199">
        <f t="shared" si="3"/>
        <v>0</v>
      </c>
      <c r="K16" s="200" t="str">
        <f t="shared" si="4"/>
        <v>—</v>
      </c>
    </row>
    <row r="17" ht="19.5" customHeight="1">
      <c r="B17" s="201" t="s">
        <v>33</v>
      </c>
      <c r="C17" s="202">
        <f t="shared" ref="C17:I17" si="5">SUM(C7:C16)</f>
        <v>460</v>
      </c>
      <c r="D17" s="202">
        <f t="shared" si="5"/>
        <v>0</v>
      </c>
      <c r="E17" s="202">
        <f t="shared" si="5"/>
        <v>0</v>
      </c>
      <c r="F17" s="202">
        <f t="shared" si="5"/>
        <v>0</v>
      </c>
      <c r="G17" s="202">
        <f t="shared" si="5"/>
        <v>0</v>
      </c>
      <c r="H17" s="202">
        <f t="shared" si="5"/>
        <v>0</v>
      </c>
      <c r="I17" s="202">
        <f t="shared" si="5"/>
        <v>460</v>
      </c>
      <c r="J17" s="203">
        <f t="shared" si="3"/>
        <v>0</v>
      </c>
      <c r="K17" s="204"/>
    </row>
    <row r="18" ht="14.25" customHeight="1"/>
    <row r="19" ht="6.0" customHeight="1"/>
    <row r="20" ht="21.75" customHeight="1">
      <c r="B20" s="22" t="s">
        <v>204</v>
      </c>
      <c r="C20" s="2"/>
      <c r="D20" s="2"/>
      <c r="E20" s="2"/>
      <c r="F20" s="2"/>
      <c r="G20" s="3"/>
    </row>
    <row r="21" ht="18.0" customHeight="1">
      <c r="B21" s="205" t="s">
        <v>205</v>
      </c>
      <c r="C21" s="205" t="s">
        <v>206</v>
      </c>
      <c r="D21" s="205" t="s">
        <v>37</v>
      </c>
      <c r="E21" s="205" t="s">
        <v>207</v>
      </c>
      <c r="F21" s="205" t="s">
        <v>208</v>
      </c>
      <c r="G21" s="205" t="s">
        <v>12</v>
      </c>
    </row>
    <row r="22" ht="15.75" customHeight="1">
      <c r="B22" s="206" t="s">
        <v>209</v>
      </c>
      <c r="C22" s="207" t="s">
        <v>317</v>
      </c>
      <c r="D22" s="189">
        <f>SUM(D7:D16)</f>
        <v>0</v>
      </c>
      <c r="E22" s="189">
        <f>C17/4</f>
        <v>115</v>
      </c>
      <c r="F22" s="189">
        <f t="shared" ref="F22:F25" si="6">E22-D22</f>
        <v>115</v>
      </c>
      <c r="G22" s="208" t="str">
        <f t="shared" ref="G22:G25" si="7">IF(D22=0,"—",IF(D22&gt;E22,"❌ Over","✅ Under"))</f>
        <v>—</v>
      </c>
    </row>
    <row r="23" ht="15.75" customHeight="1">
      <c r="B23" s="209" t="s">
        <v>211</v>
      </c>
      <c r="C23" s="210" t="s">
        <v>318</v>
      </c>
      <c r="D23" s="190">
        <f>SUM(E7:E16)</f>
        <v>0</v>
      </c>
      <c r="E23" s="190">
        <f>C17/4</f>
        <v>115</v>
      </c>
      <c r="F23" s="190">
        <f t="shared" si="6"/>
        <v>115</v>
      </c>
      <c r="G23" s="211" t="str">
        <f t="shared" si="7"/>
        <v>—</v>
      </c>
    </row>
    <row r="24" ht="15.75" customHeight="1">
      <c r="B24" s="212" t="s">
        <v>213</v>
      </c>
      <c r="C24" s="213" t="s">
        <v>319</v>
      </c>
      <c r="D24" s="191">
        <f>SUM(F7:F16)</f>
        <v>0</v>
      </c>
      <c r="E24" s="191">
        <f>C17/4</f>
        <v>115</v>
      </c>
      <c r="F24" s="191">
        <f t="shared" si="6"/>
        <v>115</v>
      </c>
      <c r="G24" s="214" t="str">
        <f t="shared" si="7"/>
        <v>—</v>
      </c>
    </row>
    <row r="25" ht="15.75" customHeight="1">
      <c r="B25" s="215" t="s">
        <v>215</v>
      </c>
      <c r="C25" s="216" t="s">
        <v>320</v>
      </c>
      <c r="D25" s="192">
        <f>SUM(G7:G16)</f>
        <v>0</v>
      </c>
      <c r="E25" s="192">
        <f>C17/4</f>
        <v>115</v>
      </c>
      <c r="F25" s="192">
        <f t="shared" si="6"/>
        <v>115</v>
      </c>
      <c r="G25" s="217" t="str">
        <f t="shared" si="7"/>
        <v>—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K1"/>
    <mergeCell ref="B20:G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2026-05-17T21:16:30Z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2026-05-18T11:12:10Z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9e2ec160-f211-451a-857d-11c3ba87a647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